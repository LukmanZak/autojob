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00_Readme" sheetId="1" state="visible" r:id="rId1"/>
    <sheet name="01_Dashboard" sheetId="2" state="visible" r:id="rId2"/>
    <sheet name="02_P&amp;L" sheetId="3" state="visible" r:id="rId3"/>
    <sheet name="03_Balance_Sheet" sheetId="4" state="visible" r:id="rId4"/>
    <sheet name="04_Cash_Flow" sheetId="5" state="visible" r:id="rId5"/>
    <sheet name="05_Plan_Forecast" sheetId="6" state="visible" r:id="rId6"/>
    <sheet name="06_Growth_Drivers" sheetId="7" state="visible" r:id="rId7"/>
    <sheet name="07_Strategic_Projects" sheetId="8" state="visible" r:id="rId8"/>
    <sheet name="08_Investment_Efficiency" sheetId="9" state="visible" r:id="rId9"/>
    <sheet name="09_Business_Partnering" sheetId="10" state="visible" r:id="rId10"/>
    <sheet name="10_Audit_Compliance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[Red](#,##0.0);-"/>
    <numFmt numFmtId="165" formatCode="0.0%;[Red](0.0%);-"/>
    <numFmt numFmtId="166" formatCode="0.0x;[Red](0.0x);-"/>
    <numFmt numFmtId="167" formatCode="#,##0;[Red](#,##0);-"/>
    <numFmt numFmtId="168" formatCode="0.0"/>
    <numFmt numFmtId="169" formatCode="dd-mmm-yy"/>
    <numFmt numFmtId="170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2937"/>
      <sz val="10"/>
    </font>
    <font>
      <color rgb="001F2937"/>
    </font>
    <font>
      <b val="1"/>
      <color rgb="00FFFFFF"/>
    </font>
    <font>
      <b val="1"/>
      <color rgb="001F2937"/>
    </font>
    <font>
      <b val="1"/>
      <color rgb="0017365D"/>
      <sz val="15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F3F6F8"/>
      </patternFill>
    </fill>
    <fill>
      <patternFill patternType="solid">
        <fgColor rgb="000F6B78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1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 style="thin">
        <color rgb="00B7C9D6"/>
      </left>
      <right/>
      <top/>
      <bottom/>
      <diagonal/>
    </border>
    <border>
      <left/>
      <right style="thin">
        <color rgb="00B7C9D6"/>
      </right>
      <top/>
      <bottom/>
      <diagonal/>
    </border>
    <border>
      <left style="thin">
        <color rgb="00B7C9D6"/>
      </left>
      <right/>
      <top/>
      <bottom style="thin">
        <color rgb="00B7C9D6"/>
      </bottom>
      <diagonal/>
    </border>
    <border>
      <left/>
      <right style="thin">
        <color rgb="00B7C9D6"/>
      </right>
      <top/>
      <bottom style="thin">
        <color rgb="00B7C9D6"/>
      </bottom>
      <diagonal/>
    </border>
    <border>
      <left/>
      <right/>
      <top/>
      <bottom style="thin">
        <color rgb="00B7C9D6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4" fillId="6" borderId="1" applyAlignment="1" pivotButton="0" quotePrefix="0" xfId="0">
      <alignment horizontal="center"/>
    </xf>
    <xf numFmtId="0" fontId="0" fillId="0" borderId="1" pivotButton="0" quotePrefix="0" xfId="0"/>
    <xf numFmtId="164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164" fontId="3" fillId="8" borderId="1" applyAlignment="1" pivotButton="0" quotePrefix="0" xfId="0">
      <alignment vertical="center" wrapText="1"/>
    </xf>
    <xf numFmtId="165" fontId="3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167" fontId="3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5" fontId="3" fillId="7" borderId="1" applyAlignment="1" applyProtection="1" pivotButton="0" quotePrefix="0" xfId="0">
      <alignment vertical="center" wrapText="1"/>
      <protection locked="0" hidden="0"/>
    </xf>
    <xf numFmtId="0" fontId="3" fillId="7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164" fontId="3" fillId="7" borderId="1" applyAlignment="1" applyProtection="1" pivotButton="0" quotePrefix="0" xfId="0">
      <alignment vertical="center" wrapText="1"/>
      <protection locked="0" hidden="0"/>
    </xf>
    <xf numFmtId="0" fontId="4" fillId="5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8" fontId="3" fillId="8" borderId="1" applyAlignment="1" pivotButton="0" quotePrefix="0" xfId="0">
      <alignment vertical="center" wrapText="1"/>
    </xf>
    <xf numFmtId="0" fontId="3" fillId="7" borderId="1" applyAlignment="1" applyProtection="1" pivotButton="0" quotePrefix="0" xfId="0">
      <alignment vertical="center" wrapText="1"/>
      <protection locked="0" hidden="0"/>
    </xf>
    <xf numFmtId="167" fontId="3" fillId="7" borderId="1" applyAlignment="1" applyProtection="1" pivotButton="0" quotePrefix="0" xfId="0">
      <alignment vertical="center" wrapText="1"/>
      <protection locked="0" hidden="0"/>
    </xf>
    <xf numFmtId="169" fontId="3" fillId="7" borderId="1" applyAlignment="1" applyProtection="1" pivotButton="0" quotePrefix="0" xfId="0">
      <alignment vertical="center" wrapText="1"/>
      <protection locked="0" hidden="0"/>
    </xf>
    <xf numFmtId="166" fontId="3" fillId="8" borderId="1" applyAlignment="1" pivotButton="0" quotePrefix="0" xfId="0">
      <alignment vertical="center" wrapText="1"/>
    </xf>
    <xf numFmtId="168" fontId="3" fillId="7" borderId="1" applyAlignment="1" applyProtection="1" pivotButton="0" quotePrefix="0" xfId="0">
      <alignment vertical="center" wrapText="1"/>
      <protection locked="0" hidden="0"/>
    </xf>
    <xf numFmtId="170" fontId="3" fillId="7" borderId="1" applyAlignment="1" applyProtection="1" pivotButton="0" quotePrefix="0" xfId="0">
      <alignment vertical="center" wrapText="1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5" fontId="3" fillId="7" borderId="1" applyAlignment="1" applyProtection="1" pivotButton="0" quotePrefix="0" xfId="0">
      <alignment vertical="center" wrapText="1"/>
      <protection locked="0" hidden="0"/>
    </xf>
    <xf numFmtId="164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vertical="center" wrapText="1"/>
    </xf>
    <xf numFmtId="165" fontId="3" fillId="8" borderId="1" applyAlignment="1" pivotButton="0" quotePrefix="0" xfId="0">
      <alignment vertical="center" wrapText="1"/>
    </xf>
    <xf numFmtId="164" fontId="3" fillId="7" borderId="1" applyAlignment="1" applyProtection="1" pivotButton="0" quotePrefix="0" xfId="0">
      <alignment vertical="center" wrapText="1"/>
      <protection locked="0" hidden="0"/>
    </xf>
    <xf numFmtId="168" fontId="3" fillId="8" borderId="1" applyAlignment="1" pivotButton="0" quotePrefix="0" xfId="0">
      <alignment vertical="center" wrapText="1"/>
    </xf>
    <xf numFmtId="166" fontId="3" fillId="8" borderId="1" applyAlignment="1" pivotButton="0" quotePrefix="0" xfId="0">
      <alignment vertical="center" wrapText="1"/>
    </xf>
    <xf numFmtId="168" fontId="3" fillId="7" borderId="1" applyAlignment="1" applyProtection="1" pivotButton="0" quotePrefix="0" xfId="0">
      <alignment vertical="center" wrapText="1"/>
      <protection locked="0" hidden="0"/>
    </xf>
    <xf numFmtId="170" fontId="3" fillId="7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Revenue: Actual vs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'01_Dashboard'!B14</f>
            </strRef>
          </tx>
          <spPr>
            <a:ln>
              <a:prstDash val="solid"/>
            </a:ln>
          </spPr>
          <cat>
            <numRef>
              <f>'01_Dashboard'!$A$15:$A$26</f>
            </numRef>
          </cat>
          <val>
            <numRef>
              <f>'01_Dashboard'!$B$15:$B$26</f>
            </numRef>
          </val>
        </ser>
        <ser>
          <idx val="1"/>
          <order val="1"/>
          <tx>
            <strRef>
              <f>'01_Dashboard'!C14</f>
            </strRef>
          </tx>
          <spPr>
            <a:ln>
              <a:prstDash val="solid"/>
            </a:ln>
          </spPr>
          <cat>
            <numRef>
              <f>'01_Dashboard'!$A$15:$A$26</f>
            </numRef>
          </cat>
          <val>
            <numRef>
              <f>'01_Dashboard'!$C$15:$C$26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IDR juta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EBITDA: Actual vs Plan</a:t>
            </a:r>
          </a:p>
        </rich>
      </tx>
    </title>
    <plotArea>
      <lineChart>
        <grouping val="standard"/>
        <ser>
          <idx val="0"/>
          <order val="0"/>
          <tx>
            <strRef>
              <f>'01_Dashboard'!D14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'01_Dashboard'!$A$15:$A$26</f>
            </numRef>
          </cat>
          <val>
            <numRef>
              <f>'01_Dashboard'!$D$15:$D$26</f>
            </numRef>
          </val>
        </ser>
        <ser>
          <idx val="1"/>
          <order val="1"/>
          <tx>
            <strRef>
              <f>'01_Dashboard'!E14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'01_Dashboard'!$A$15:$A$26</f>
            </numRef>
          </cat>
          <val>
            <numRef>
              <f>'01_Dashboard'!$E$15:$E$26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IDR juta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28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DriversTable" displayName="GrowthDriversTable" ref="A5:M437" headerRowCount="1">
  <autoFilter ref="A5:M437"/>
  <tableColumns count="13">
    <tableColumn id="1" name="Month"/>
    <tableColumn id="2" name="Region"/>
    <tableColumn id="3" name="Channel"/>
    <tableColumn id="4" name="Category"/>
    <tableColumn id="5" name="Consumption Volume"/>
    <tableColumn id="6" name="Net Sales"/>
    <tableColumn id="7" name="Numeric Distribution"/>
    <tableColumn id="8" name="Weighted Distribution"/>
    <tableColumn id="9" name="Digital Commerce Mix"/>
    <tableColumn id="10" name="Media / Expert Investment"/>
    <tableColumn id="11" name="Incremental Gross Profit"/>
    <tableColumn id="12" name="Growth Rate"/>
    <tableColumn id="13" name="Growth R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trategicProjectsTable" displayName="StrategicProjectsTable" ref="A5:O13" headerRowCount="1">
  <autoFilter ref="A5:O13"/>
  <tableColumns count="15">
    <tableColumn id="1" name="Project ID"/>
    <tableColumn id="2" name="Workstream"/>
    <tableColumn id="3" name="Project"/>
    <tableColumn id="4" name="Owner"/>
    <tableColumn id="5" name="Sponsor"/>
    <tableColumn id="6" name="Start"/>
    <tableColumn id="7" name="End"/>
    <tableColumn id="8" name="Budget"/>
    <tableColumn id="9" name="Actual Spend"/>
    <tableColumn id="10" name="Expected Revenue"/>
    <tableColumn id="11" name="Expected Gross Profit"/>
    <tableColumn id="12" name="ROI"/>
    <tableColumn id="13" name="Milestone"/>
    <tableColumn id="14" name="Status"/>
    <tableColumn id="15" name="RA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estmentEfficiencyDetail" displayName="InvestmentEfficiencyDetail" ref="A5:N113" headerRowCount="1">
  <autoFilter ref="A5:N113"/>
  <tableColumns count="14">
    <tableColumn id="1" name="Month"/>
    <tableColumn id="2" name="Channel"/>
    <tableColumn id="3" name="Category"/>
    <tableColumn id="4" name="Trade Investment"/>
    <tableColumn id="5" name="A&amp;P Investment"/>
    <tableColumn id="6" name="Expert / Media Spend"/>
    <tableColumn id="7" name="Gross Margin"/>
    <tableColumn id="8" name="Overhead Target"/>
    <tableColumn id="9" name="Actual Spend"/>
    <tableColumn id="10" name="Incremental Sales"/>
    <tableColumn id="11" name="Incremental Gross Profit"/>
    <tableColumn id="12" name="ROI"/>
    <tableColumn id="13" name="Variance vs Target"/>
    <tableColumn id="14" name="RAG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vestmentEfficiencySummary" displayName="InvestmentEfficiencySummary" ref="A117:L126" headerRowCount="1">
  <autoFilter ref="A117:L126"/>
  <tableColumns count="12">
    <tableColumn id="1" name="Channel"/>
    <tableColumn id="2" name="Category"/>
    <tableColumn id="3" name="Trade Investment"/>
    <tableColumn id="4" name="A&amp;P Investment"/>
    <tableColumn id="5" name="Expert / Media Spend"/>
    <tableColumn id="6" name="Actual Spend"/>
    <tableColumn id="7" name="Incremental Sales"/>
    <tableColumn id="8" name="Incremental Gross Profit"/>
    <tableColumn id="9" name="ROI"/>
    <tableColumn id="10" name="Avg Gross Margin"/>
    <tableColumn id="11" name="Variance vs Target"/>
    <tableColumn id="12" name="RA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usinessPartneringKpiTable" displayName="BusinessPartneringKpiTable" ref="A5:I11" headerRowCount="1">
  <autoFilter ref="A5:I11"/>
  <tableColumns count="9">
    <tableColumn id="1" name="KPI"/>
    <tableColumn id="2" name="Target"/>
    <tableColumn id="3" name="Actual"/>
    <tableColumn id="4" name="Variance"/>
    <tableColumn id="5" name="RAG"/>
    <tableColumn id="6" name="Root Cause"/>
    <tableColumn id="7" name="Action Plan"/>
    <tableColumn id="8" name="Owner"/>
    <tableColumn id="9" name="Due D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MarketRiskRegister" displayName="MarketRiskRegister" ref="A19:K27" headerRowCount="1">
  <autoFilter ref="A19:K27"/>
  <tableColumns count="11">
    <tableColumn id="1" name="Risk ID"/>
    <tableColumn id="2" name="Risk"/>
    <tableColumn id="3" name="Category"/>
    <tableColumn id="4" name="Probability"/>
    <tableColumn id="5" name="Impact"/>
    <tableColumn id="6" name="Exposure"/>
    <tableColumn id="7" name="Mitigation"/>
    <tableColumn id="8" name="Owner"/>
    <tableColumn id="9" name="Due Date"/>
    <tableColumn id="10" name="Status"/>
    <tableColumn id="11" name="RAG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AuditComplianceTable" displayName="AuditComplianceTable" ref="A5:I13" headerRowCount="1">
  <autoFilter ref="A5:I13"/>
  <tableColumns count="9">
    <tableColumn id="1" name="Control Area"/>
    <tableColumn id="2" name="Audit Type"/>
    <tableColumn id="3" name="Management Book"/>
    <tableColumn id="4" name="Due Date"/>
    <tableColumn id="5" name="Owner"/>
    <tableColumn id="6" name="Issue Count"/>
    <tableColumn id="7" name="Remediation"/>
    <tableColumn id="8" name="Status"/>
    <tableColumn id="9" name="RA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A5B9BD"/>
    <outlinePr summaryBelow="1" summaryRight="1"/>
    <pageSetUpPr/>
  </sheetPr>
  <dimension ref="A1:F33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3" customWidth="1" min="1" max="1"/>
    <col width="40" customWidth="1" min="2" max="2"/>
    <col width="55" customWidth="1" min="3" max="3"/>
    <col width="3" customWidth="1" min="4" max="4"/>
    <col width="3" customWidth="1" min="5" max="5"/>
    <col width="3" customWidth="1" min="6" max="6"/>
  </cols>
  <sheetData>
    <row r="1" ht="28" customHeight="1">
      <c r="A1" s="1" t="inlineStr">
        <is>
          <t>Workbook Dummy Finance FMCG 2026</t>
        </is>
      </c>
    </row>
    <row r="2" ht="29" customHeight="1">
      <c r="A2" s="2" t="inlineStr">
        <is>
          <t>Portfolio/interview workbook | PT Nusantara Consumer Brands | seluruh data bersifat dummy</t>
        </is>
      </c>
    </row>
    <row r="4">
      <c r="A4" s="10" t="inlineStr">
        <is>
          <t>DISCLAIMER: Seluruh data, angka, nama proyek, risiko, status, dan asumsi di workbook ini dibuat untuk latihan portofolio/interview. Data tidak merepresentasikan perusahaan atau laporan keuangan nyata.</t>
        </is>
      </c>
      <c r="B4" s="33" t="n"/>
      <c r="C4" s="33" t="n"/>
      <c r="D4" s="33" t="n"/>
      <c r="E4" s="33" t="n"/>
      <c r="F4" s="34" t="n"/>
    </row>
    <row r="5">
      <c r="A5" s="35" t="n"/>
      <c r="B5" s="36" t="n"/>
      <c r="C5" s="36" t="n"/>
      <c r="D5" s="36" t="n"/>
      <c r="E5" s="36" t="n"/>
      <c r="F5" s="37" t="n"/>
    </row>
    <row r="7">
      <c r="A7" s="8" t="inlineStr">
        <is>
          <t>Asumsi &amp; Konvensi</t>
        </is>
      </c>
    </row>
    <row r="8" ht="30" customHeight="1">
      <c r="A8" s="9" t="inlineStr">
        <is>
          <t>Assumption</t>
        </is>
      </c>
      <c r="B8" s="9" t="inlineStr">
        <is>
          <t>Value</t>
        </is>
      </c>
    </row>
    <row r="9">
      <c r="A9" s="15" t="inlineStr">
        <is>
          <t>Company</t>
        </is>
      </c>
      <c r="B9" s="10" t="inlineStr">
        <is>
          <t>PT Nusantara Consumer Brands</t>
        </is>
      </c>
    </row>
    <row r="10">
      <c r="A10" s="15" t="inlineStr">
        <is>
          <t>Industry</t>
        </is>
      </c>
      <c r="B10" s="10" t="inlineStr">
        <is>
          <t>FMCG / consumer goods</t>
        </is>
      </c>
    </row>
    <row r="11">
      <c r="A11" s="15" t="inlineStr">
        <is>
          <t>Period</t>
        </is>
      </c>
      <c r="B11" s="10" t="inlineStr">
        <is>
          <t>Jan-Dec 2026</t>
        </is>
      </c>
    </row>
    <row r="12">
      <c r="A12" s="15" t="inlineStr">
        <is>
          <t>Currency / unit</t>
        </is>
      </c>
      <c r="B12" s="10" t="inlineStr">
        <is>
          <t>IDR juta</t>
        </is>
      </c>
    </row>
    <row r="13">
      <c r="A13" s="15" t="inlineStr">
        <is>
          <t>Scenario</t>
        </is>
      </c>
      <c r="B13" s="10" t="inlineStr">
        <is>
          <t>Actual, Annual Plan, Major Forecast, Rolling Forecast</t>
        </is>
      </c>
    </row>
    <row r="14">
      <c r="A14" s="15" t="inlineStr">
        <is>
          <t>RAG warning threshold</t>
        </is>
      </c>
      <c r="B14" s="38" t="n">
        <v>0.05</v>
      </c>
    </row>
    <row r="15">
      <c r="A15" s="15" t="inlineStr">
        <is>
          <t>Input cell color</t>
        </is>
      </c>
      <c r="B15" s="10" t="inlineStr">
        <is>
          <t>Blue</t>
        </is>
      </c>
    </row>
    <row r="16">
      <c r="A16" s="15" t="inlineStr">
        <is>
          <t>Formula / linked cell color</t>
        </is>
      </c>
      <c r="B16" s="10" t="inlineStr">
        <is>
          <t>Light green</t>
        </is>
      </c>
    </row>
    <row r="19">
      <c r="A19" s="8" t="inlineStr">
        <is>
          <t>Legend</t>
        </is>
      </c>
    </row>
    <row r="20">
      <c r="A20" s="17" t="inlineStr">
        <is>
          <t>Input / editable</t>
        </is>
      </c>
    </row>
    <row r="21">
      <c r="A21" s="13" t="inlineStr">
        <is>
          <t>Formula / linked</t>
        </is>
      </c>
    </row>
    <row r="22">
      <c r="A22" s="18" t="inlineStr">
        <is>
          <t>Green RAG</t>
        </is>
      </c>
    </row>
    <row r="23">
      <c r="A23" s="19" t="inlineStr">
        <is>
          <t>Amber RAG</t>
        </is>
      </c>
    </row>
    <row r="24">
      <c r="A24" s="20" t="inlineStr">
        <is>
          <t>Red RAG</t>
        </is>
      </c>
    </row>
    <row r="27">
      <c r="A27" s="8" t="inlineStr">
        <is>
          <t>Pemetaan Tanggung Jawab Finance ke Sheet</t>
        </is>
      </c>
    </row>
    <row r="28" ht="30" customHeight="1">
      <c r="A28" s="9" t="inlineStr">
        <is>
          <t>Tanggung jawab</t>
        </is>
      </c>
      <c r="B28" s="9" t="inlineStr">
        <is>
          <t>Contoh dummy data</t>
        </is>
      </c>
      <c r="C28" s="9" t="inlineStr">
        <is>
          <t>Sheet utama</t>
        </is>
      </c>
    </row>
    <row r="29" ht="42" customHeight="1">
      <c r="A29" s="21" t="inlineStr">
        <is>
          <t>End-to-end P&amp;L, BS, cash flow, audit &amp; compliance</t>
        </is>
      </c>
      <c r="B29" s="21" t="inlineStr">
        <is>
          <t>P&amp;L, balance sheet, cash flow, statutory/external/tax audit, controls</t>
        </is>
      </c>
      <c r="C29" s="21" t="inlineStr">
        <is>
          <t>02_P&amp;L; 03_Balance_Sheet; 04_Cash_Flow; 10_Audit_Compliance</t>
        </is>
      </c>
    </row>
    <row r="30" ht="42" customHeight="1">
      <c r="A30" s="21" t="inlineStr">
        <is>
          <t>Annual Plan, Major Forecast, Rolling Forecast</t>
        </is>
      </c>
      <c r="B30" s="21" t="inlineStr">
        <is>
          <t>Scenario planning, variance, forecast accuracy</t>
        </is>
      </c>
      <c r="C30" s="21" t="inlineStr">
        <is>
          <t>02_P&amp;L; 05_Plan_Forecast; 01_Dashboard</t>
        </is>
      </c>
    </row>
    <row r="31" ht="42" customHeight="1">
      <c r="A31" s="21" t="inlineStr">
        <is>
          <t>Drive consumption growth &amp; commercial partnership</t>
        </is>
      </c>
      <c r="B31" s="21" t="inlineStr">
        <is>
          <t>Growth by region/channel/category, distribution, digital commerce, media</t>
        </is>
      </c>
      <c r="C31" s="21" t="inlineStr">
        <is>
          <t>06_Growth_Drivers; 09_Business_Partnering</t>
        </is>
      </c>
    </row>
    <row r="32" ht="42" customHeight="1">
      <c r="A32" s="21" t="inlineStr">
        <is>
          <t>Strategic projects and investment efficiency</t>
        </is>
      </c>
      <c r="B32" s="21" t="inlineStr">
        <is>
          <t>GTM, innovation, digital commerce, trade/A&amp;P/media ROI</t>
        </is>
      </c>
      <c r="C32" s="21" t="inlineStr">
        <is>
          <t>07_Strategic_Projects; 08_Investment_Efficiency</t>
        </is>
      </c>
    </row>
    <row r="33" ht="42" customHeight="1">
      <c r="A33" s="21" t="inlineStr">
        <is>
          <t>Financial guidance, hygiene, and market risk</t>
        </is>
      </c>
      <c r="B33" s="21" t="inlineStr">
        <is>
          <t>Performance culture, commercial hygiene, risk register, RAG</t>
        </is>
      </c>
      <c r="C33" s="21" t="inlineStr">
        <is>
          <t>09_Business_Partnering; 01_Dashboard</t>
        </is>
      </c>
    </row>
  </sheetData>
  <mergeCells count="6">
    <mergeCell ref="A2:F2"/>
    <mergeCell ref="A19:F19"/>
    <mergeCell ref="A1:F1"/>
    <mergeCell ref="A27:F27"/>
    <mergeCell ref="A4:F5"/>
    <mergeCell ref="A7:F7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N48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Finance FMCG Dashboard | 2026</t>
        </is>
      </c>
    </row>
    <row r="2" ht="29" customHeight="1">
      <c r="A2" s="2" t="inlineStr">
        <is>
          <t>PT Nusantara Consumer Brands | formula-linked from detail sheets | IDR juta unless noted</t>
        </is>
      </c>
    </row>
    <row r="4">
      <c r="A4" s="3" t="inlineStr">
        <is>
          <t>Revenue</t>
        </is>
      </c>
      <c r="B4" s="25" t="n"/>
      <c r="D4" s="3" t="inlineStr">
        <is>
          <t>Gross Profit</t>
        </is>
      </c>
      <c r="E4" s="25" t="n"/>
      <c r="G4" s="3" t="inlineStr">
        <is>
          <t>Gross Margin</t>
        </is>
      </c>
      <c r="H4" s="25" t="n"/>
      <c r="J4" s="3" t="inlineStr">
        <is>
          <t>EBITDA</t>
        </is>
      </c>
      <c r="K4" s="25" t="n"/>
      <c r="M4" s="3" t="inlineStr">
        <is>
          <t>EBITDA Margin</t>
        </is>
      </c>
      <c r="N4" s="25" t="n"/>
    </row>
    <row r="5">
      <c r="A5" s="39">
        <f>'02_P&amp;L'!N6</f>
        <v/>
      </c>
      <c r="B5" s="34" t="n"/>
      <c r="D5" s="39">
        <f>'02_P&amp;L'!N8</f>
        <v/>
      </c>
      <c r="E5" s="34" t="n"/>
      <c r="G5" s="40">
        <f>'02_P&amp;L'!N9</f>
        <v/>
      </c>
      <c r="H5" s="34" t="n"/>
      <c r="J5" s="39">
        <f>'02_P&amp;L'!N13</f>
        <v/>
      </c>
      <c r="K5" s="34" t="n"/>
      <c r="M5" s="40">
        <f>'02_P&amp;L'!N14</f>
        <v/>
      </c>
      <c r="N5" s="34" t="n"/>
    </row>
    <row r="6">
      <c r="A6" s="35" t="n"/>
      <c r="B6" s="37" t="n"/>
      <c r="D6" s="35" t="n"/>
      <c r="E6" s="37" t="n"/>
      <c r="G6" s="35" t="n"/>
      <c r="H6" s="37" t="n"/>
      <c r="J6" s="35" t="n"/>
      <c r="K6" s="37" t="n"/>
      <c r="M6" s="35" t="n"/>
      <c r="N6" s="37" t="n"/>
    </row>
    <row r="8">
      <c r="A8" s="3" t="inlineStr">
        <is>
          <t>Ending Cash</t>
        </is>
      </c>
      <c r="B8" s="25" t="n"/>
      <c r="D8" s="3" t="inlineStr">
        <is>
          <t>Net Working Capital</t>
        </is>
      </c>
      <c r="E8" s="25" t="n"/>
      <c r="G8" s="3" t="inlineStr">
        <is>
          <t>Trade ROI</t>
        </is>
      </c>
      <c r="H8" s="25" t="n"/>
      <c r="J8" s="3" t="inlineStr">
        <is>
          <t>Forecast Accuracy</t>
        </is>
      </c>
      <c r="K8" s="25" t="n"/>
    </row>
    <row r="9">
      <c r="A9" s="39">
        <f>'04_Cash_Flow'!M11</f>
        <v/>
      </c>
      <c r="B9" s="34" t="n"/>
      <c r="D9" s="39">
        <f>'03_Balance_Sheet'!M21</f>
        <v/>
      </c>
      <c r="E9" s="34" t="n"/>
      <c r="G9" s="41">
        <f>IFERROR(SUM('08_Investment_Efficiency'!K6:K113)/SUM('08_Investment_Efficiency'!D6:D113),0)</f>
        <v/>
      </c>
      <c r="H9" s="34" t="n"/>
      <c r="J9" s="40">
        <f>MAX(0,1-ABS(SUM('02_P&amp;L'!B55:M55))/SUM('02_P&amp;L'!B6:M6))</f>
        <v/>
      </c>
      <c r="K9" s="34" t="n"/>
    </row>
    <row r="10">
      <c r="A10" s="35" t="n"/>
      <c r="B10" s="37" t="n"/>
      <c r="D10" s="35" t="n"/>
      <c r="E10" s="37" t="n"/>
      <c r="G10" s="35" t="n"/>
      <c r="H10" s="37" t="n"/>
      <c r="J10" s="35" t="n"/>
      <c r="K10" s="37" t="n"/>
    </row>
    <row r="13">
      <c r="A13" s="8" t="inlineStr">
        <is>
          <t>Actual vs Annual Plan</t>
        </is>
      </c>
    </row>
    <row r="14" ht="30" customHeight="1">
      <c r="A14" s="9" t="inlineStr">
        <is>
          <t>Month</t>
        </is>
      </c>
      <c r="B14" s="9" t="inlineStr">
        <is>
          <t>Actual Revenue</t>
        </is>
      </c>
      <c r="C14" s="9" t="inlineStr">
        <is>
          <t>Plan Revenue</t>
        </is>
      </c>
      <c r="D14" s="9" t="inlineStr">
        <is>
          <t>Actual EBITDA</t>
        </is>
      </c>
      <c r="E14" s="9" t="inlineStr">
        <is>
          <t>Plan EBITDA</t>
        </is>
      </c>
      <c r="F14" s="9" t="inlineStr">
        <is>
          <t>Revenue Var %</t>
        </is>
      </c>
      <c r="G14" s="9" t="inlineStr">
        <is>
          <t>EBITDA Var %</t>
        </is>
      </c>
    </row>
    <row r="15">
      <c r="A15" s="10" t="inlineStr">
        <is>
          <t>Jan</t>
        </is>
      </c>
      <c r="B15" s="42">
        <f>'02_P&amp;L'!B6</f>
        <v/>
      </c>
      <c r="C15" s="42">
        <f>'02_P&amp;L'!B18</f>
        <v/>
      </c>
      <c r="D15" s="42">
        <f>'02_P&amp;L'!B13</f>
        <v/>
      </c>
      <c r="E15" s="42">
        <f>'02_P&amp;L'!B25</f>
        <v/>
      </c>
      <c r="F15" s="43">
        <f>IFERROR(B15/C15-1,0)</f>
        <v/>
      </c>
      <c r="G15" s="43">
        <f>IFERROR(D15/E15-1,0)</f>
        <v/>
      </c>
    </row>
    <row r="16">
      <c r="A16" s="10" t="inlineStr">
        <is>
          <t>Feb</t>
        </is>
      </c>
      <c r="B16" s="42">
        <f>'02_P&amp;L'!C6</f>
        <v/>
      </c>
      <c r="C16" s="42">
        <f>'02_P&amp;L'!C18</f>
        <v/>
      </c>
      <c r="D16" s="42">
        <f>'02_P&amp;L'!C13</f>
        <v/>
      </c>
      <c r="E16" s="42">
        <f>'02_P&amp;L'!C25</f>
        <v/>
      </c>
      <c r="F16" s="43">
        <f>IFERROR(B16/C16-1,0)</f>
        <v/>
      </c>
      <c r="G16" s="43">
        <f>IFERROR(D16/E16-1,0)</f>
        <v/>
      </c>
    </row>
    <row r="17">
      <c r="A17" s="10" t="inlineStr">
        <is>
          <t>Mar</t>
        </is>
      </c>
      <c r="B17" s="42">
        <f>'02_P&amp;L'!D6</f>
        <v/>
      </c>
      <c r="C17" s="42">
        <f>'02_P&amp;L'!D18</f>
        <v/>
      </c>
      <c r="D17" s="42">
        <f>'02_P&amp;L'!D13</f>
        <v/>
      </c>
      <c r="E17" s="42">
        <f>'02_P&amp;L'!D25</f>
        <v/>
      </c>
      <c r="F17" s="43">
        <f>IFERROR(B17/C17-1,0)</f>
        <v/>
      </c>
      <c r="G17" s="43">
        <f>IFERROR(D17/E17-1,0)</f>
        <v/>
      </c>
    </row>
    <row r="18">
      <c r="A18" s="10" t="inlineStr">
        <is>
          <t>Apr</t>
        </is>
      </c>
      <c r="B18" s="42">
        <f>'02_P&amp;L'!E6</f>
        <v/>
      </c>
      <c r="C18" s="42">
        <f>'02_P&amp;L'!E18</f>
        <v/>
      </c>
      <c r="D18" s="42">
        <f>'02_P&amp;L'!E13</f>
        <v/>
      </c>
      <c r="E18" s="42">
        <f>'02_P&amp;L'!E25</f>
        <v/>
      </c>
      <c r="F18" s="43">
        <f>IFERROR(B18/C18-1,0)</f>
        <v/>
      </c>
      <c r="G18" s="43">
        <f>IFERROR(D18/E18-1,0)</f>
        <v/>
      </c>
    </row>
    <row r="19">
      <c r="A19" s="10" t="inlineStr">
        <is>
          <t>May</t>
        </is>
      </c>
      <c r="B19" s="42">
        <f>'02_P&amp;L'!F6</f>
        <v/>
      </c>
      <c r="C19" s="42">
        <f>'02_P&amp;L'!F18</f>
        <v/>
      </c>
      <c r="D19" s="42">
        <f>'02_P&amp;L'!F13</f>
        <v/>
      </c>
      <c r="E19" s="42">
        <f>'02_P&amp;L'!F25</f>
        <v/>
      </c>
      <c r="F19" s="43">
        <f>IFERROR(B19/C19-1,0)</f>
        <v/>
      </c>
      <c r="G19" s="43">
        <f>IFERROR(D19/E19-1,0)</f>
        <v/>
      </c>
    </row>
    <row r="20">
      <c r="A20" s="10" t="inlineStr">
        <is>
          <t>Jun</t>
        </is>
      </c>
      <c r="B20" s="42">
        <f>'02_P&amp;L'!G6</f>
        <v/>
      </c>
      <c r="C20" s="42">
        <f>'02_P&amp;L'!G18</f>
        <v/>
      </c>
      <c r="D20" s="42">
        <f>'02_P&amp;L'!G13</f>
        <v/>
      </c>
      <c r="E20" s="42">
        <f>'02_P&amp;L'!G25</f>
        <v/>
      </c>
      <c r="F20" s="43">
        <f>IFERROR(B20/C20-1,0)</f>
        <v/>
      </c>
      <c r="G20" s="43">
        <f>IFERROR(D20/E20-1,0)</f>
        <v/>
      </c>
    </row>
    <row r="21">
      <c r="A21" s="10" t="inlineStr">
        <is>
          <t>Jul</t>
        </is>
      </c>
      <c r="B21" s="42">
        <f>'02_P&amp;L'!H6</f>
        <v/>
      </c>
      <c r="C21" s="42">
        <f>'02_P&amp;L'!H18</f>
        <v/>
      </c>
      <c r="D21" s="42">
        <f>'02_P&amp;L'!H13</f>
        <v/>
      </c>
      <c r="E21" s="42">
        <f>'02_P&amp;L'!H25</f>
        <v/>
      </c>
      <c r="F21" s="43">
        <f>IFERROR(B21/C21-1,0)</f>
        <v/>
      </c>
      <c r="G21" s="43">
        <f>IFERROR(D21/E21-1,0)</f>
        <v/>
      </c>
    </row>
    <row r="22">
      <c r="A22" s="10" t="inlineStr">
        <is>
          <t>Aug</t>
        </is>
      </c>
      <c r="B22" s="42">
        <f>'02_P&amp;L'!I6</f>
        <v/>
      </c>
      <c r="C22" s="42">
        <f>'02_P&amp;L'!I18</f>
        <v/>
      </c>
      <c r="D22" s="42">
        <f>'02_P&amp;L'!I13</f>
        <v/>
      </c>
      <c r="E22" s="42">
        <f>'02_P&amp;L'!I25</f>
        <v/>
      </c>
      <c r="F22" s="43">
        <f>IFERROR(B22/C22-1,0)</f>
        <v/>
      </c>
      <c r="G22" s="43">
        <f>IFERROR(D22/E22-1,0)</f>
        <v/>
      </c>
    </row>
    <row r="23">
      <c r="A23" s="10" t="inlineStr">
        <is>
          <t>Sep</t>
        </is>
      </c>
      <c r="B23" s="42">
        <f>'02_P&amp;L'!J6</f>
        <v/>
      </c>
      <c r="C23" s="42">
        <f>'02_P&amp;L'!J18</f>
        <v/>
      </c>
      <c r="D23" s="42">
        <f>'02_P&amp;L'!J13</f>
        <v/>
      </c>
      <c r="E23" s="42">
        <f>'02_P&amp;L'!J25</f>
        <v/>
      </c>
      <c r="F23" s="43">
        <f>IFERROR(B23/C23-1,0)</f>
        <v/>
      </c>
      <c r="G23" s="43">
        <f>IFERROR(D23/E23-1,0)</f>
        <v/>
      </c>
    </row>
    <row r="24">
      <c r="A24" s="10" t="inlineStr">
        <is>
          <t>Oct</t>
        </is>
      </c>
      <c r="B24" s="42">
        <f>'02_P&amp;L'!K6</f>
        <v/>
      </c>
      <c r="C24" s="42">
        <f>'02_P&amp;L'!K18</f>
        <v/>
      </c>
      <c r="D24" s="42">
        <f>'02_P&amp;L'!K13</f>
        <v/>
      </c>
      <c r="E24" s="42">
        <f>'02_P&amp;L'!K25</f>
        <v/>
      </c>
      <c r="F24" s="43">
        <f>IFERROR(B24/C24-1,0)</f>
        <v/>
      </c>
      <c r="G24" s="43">
        <f>IFERROR(D24/E24-1,0)</f>
        <v/>
      </c>
    </row>
    <row r="25">
      <c r="A25" s="10" t="inlineStr">
        <is>
          <t>Nov</t>
        </is>
      </c>
      <c r="B25" s="42">
        <f>'02_P&amp;L'!L6</f>
        <v/>
      </c>
      <c r="C25" s="42">
        <f>'02_P&amp;L'!L18</f>
        <v/>
      </c>
      <c r="D25" s="42">
        <f>'02_P&amp;L'!L13</f>
        <v/>
      </c>
      <c r="E25" s="42">
        <f>'02_P&amp;L'!L25</f>
        <v/>
      </c>
      <c r="F25" s="43">
        <f>IFERROR(B25/C25-1,0)</f>
        <v/>
      </c>
      <c r="G25" s="43">
        <f>IFERROR(D25/E25-1,0)</f>
        <v/>
      </c>
    </row>
    <row r="26">
      <c r="A26" s="10" t="inlineStr">
        <is>
          <t>Dec</t>
        </is>
      </c>
      <c r="B26" s="42">
        <f>'02_P&amp;L'!M6</f>
        <v/>
      </c>
      <c r="C26" s="42">
        <f>'02_P&amp;L'!M18</f>
        <v/>
      </c>
      <c r="D26" s="42">
        <f>'02_P&amp;L'!M13</f>
        <v/>
      </c>
      <c r="E26" s="42">
        <f>'02_P&amp;L'!M25</f>
        <v/>
      </c>
      <c r="F26" s="43">
        <f>IFERROR(B26/C26-1,0)</f>
        <v/>
      </c>
      <c r="G26" s="43">
        <f>IFERROR(D26/E26-1,0)</f>
        <v/>
      </c>
    </row>
    <row r="30">
      <c r="A30" s="8" t="inlineStr">
        <is>
          <t>Largest Variances</t>
        </is>
      </c>
    </row>
    <row r="31" ht="30" customHeight="1">
      <c r="A31" s="9" t="inlineStr">
        <is>
          <t>Metric</t>
        </is>
      </c>
      <c r="B31" s="9" t="inlineStr">
        <is>
          <t>Month</t>
        </is>
      </c>
      <c r="C31" s="9" t="inlineStr">
        <is>
          <t>Variance</t>
        </is>
      </c>
      <c r="D31" s="9" t="inlineStr">
        <is>
          <t>Interpretation</t>
        </is>
      </c>
    </row>
    <row r="32">
      <c r="A32" s="10" t="inlineStr">
        <is>
          <t>Revenue</t>
        </is>
      </c>
      <c r="B32" s="13">
        <f>INDEX($A$15:$A$26,MATCH(MIN($F$15:$F$26),$F$15:$F$26,0))</f>
        <v/>
      </c>
      <c r="C32" s="43">
        <f>MIN($F$15:$F$26)</f>
        <v/>
      </c>
      <c r="D32" s="13">
        <f>IF(C32&lt;0,"Below plan","Above plan")</f>
        <v/>
      </c>
    </row>
    <row r="33">
      <c r="A33" s="10" t="inlineStr">
        <is>
          <t>EBITDA</t>
        </is>
      </c>
      <c r="B33" s="13">
        <f>INDEX($A$15:$A$26,MATCH(MIN($G$15:$G$26),$G$15:$G$26,0))</f>
        <v/>
      </c>
      <c r="C33" s="43">
        <f>MIN($G$15:$G$26)</f>
        <v/>
      </c>
      <c r="D33" s="13">
        <f>IF(C33&lt;0,"Below plan","Above plan")</f>
        <v/>
      </c>
    </row>
    <row r="36">
      <c r="A36" s="8" t="inlineStr">
        <is>
          <t>Strategic Project Status</t>
        </is>
      </c>
    </row>
    <row r="37" ht="30" customHeight="1">
      <c r="A37" s="9" t="inlineStr">
        <is>
          <t>RAG</t>
        </is>
      </c>
      <c r="B37" s="9" t="inlineStr">
        <is>
          <t>Count</t>
        </is>
      </c>
      <c r="C37" s="9" t="inlineStr">
        <is>
          <t>Meaning</t>
        </is>
      </c>
    </row>
    <row r="38">
      <c r="A38" s="13" t="inlineStr">
        <is>
          <t>Green</t>
        </is>
      </c>
      <c r="B38" s="14">
        <f>COUNTIF('07_Strategic_Projects'!$O$6:$O$13,A38)</f>
        <v/>
      </c>
      <c r="C38" s="10" t="inlineStr">
        <is>
          <t>On track / completed</t>
        </is>
      </c>
    </row>
    <row r="39">
      <c r="A39" s="13" t="inlineStr">
        <is>
          <t>Amber</t>
        </is>
      </c>
      <c r="B39" s="14">
        <f>COUNTIF('07_Strategic_Projects'!$O$6:$O$13,A39)</f>
        <v/>
      </c>
      <c r="C39" s="10" t="inlineStr">
        <is>
          <t>At risk</t>
        </is>
      </c>
    </row>
    <row r="40">
      <c r="A40" s="13" t="inlineStr">
        <is>
          <t>Red</t>
        </is>
      </c>
      <c r="B40" s="14">
        <f>COUNTIF('07_Strategic_Projects'!$O$6:$O$13,A40)</f>
        <v/>
      </c>
      <c r="C40" s="10" t="inlineStr">
        <is>
          <t>Delayed</t>
        </is>
      </c>
    </row>
    <row r="44">
      <c r="A44" s="8" t="inlineStr">
        <is>
          <t>Market Risk RAG</t>
        </is>
      </c>
    </row>
    <row r="45" ht="30" customHeight="1">
      <c r="A45" s="9" t="inlineStr">
        <is>
          <t>RAG</t>
        </is>
      </c>
      <c r="B45" s="9" t="inlineStr">
        <is>
          <t>Count</t>
        </is>
      </c>
      <c r="C45" s="9" t="inlineStr">
        <is>
          <t>Action</t>
        </is>
      </c>
    </row>
    <row r="46">
      <c r="A46" s="13" t="inlineStr">
        <is>
          <t>Green</t>
        </is>
      </c>
      <c r="B46" s="14">
        <f>COUNTIF('09_Business_Partnering'!$K$20:$K$27,A46)</f>
        <v/>
      </c>
      <c r="C46" s="10" t="inlineStr">
        <is>
          <t>Monitor</t>
        </is>
      </c>
    </row>
    <row r="47">
      <c r="A47" s="13" t="inlineStr">
        <is>
          <t>Amber</t>
        </is>
      </c>
      <c r="B47" s="14">
        <f>COUNTIF('09_Business_Partnering'!$K$20:$K$27,A47)</f>
        <v/>
      </c>
      <c r="C47" s="10" t="inlineStr">
        <is>
          <t>Mitigate</t>
        </is>
      </c>
    </row>
    <row r="48">
      <c r="A48" s="13" t="inlineStr">
        <is>
          <t>Red</t>
        </is>
      </c>
      <c r="B48" s="14">
        <f>COUNTIF('09_Business_Partnering'!$K$20:$K$27,A48)</f>
        <v/>
      </c>
      <c r="C48" s="10" t="inlineStr">
        <is>
          <t>Escalate</t>
        </is>
      </c>
    </row>
  </sheetData>
  <mergeCells count="24">
    <mergeCell ref="A5:B6"/>
    <mergeCell ref="G5:H6"/>
    <mergeCell ref="G8:H8"/>
    <mergeCell ref="D9:E10"/>
    <mergeCell ref="A1:N1"/>
    <mergeCell ref="A44:D44"/>
    <mergeCell ref="A13:G13"/>
    <mergeCell ref="A30:D30"/>
    <mergeCell ref="D5:E6"/>
    <mergeCell ref="J5:K6"/>
    <mergeCell ref="A9:B10"/>
    <mergeCell ref="G9:H10"/>
    <mergeCell ref="A36:D36"/>
    <mergeCell ref="J4:K4"/>
    <mergeCell ref="A2:N2"/>
    <mergeCell ref="D4:E4"/>
    <mergeCell ref="M5:N6"/>
    <mergeCell ref="A8:B8"/>
    <mergeCell ref="A4:B4"/>
    <mergeCell ref="G4:H4"/>
    <mergeCell ref="D8:E8"/>
    <mergeCell ref="J9:K10"/>
    <mergeCell ref="J8:K8"/>
    <mergeCell ref="M4:N4"/>
  </mergeCells>
  <conditionalFormatting sqref="F15:G26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A38:A40">
    <cfRule type="expression" priority="3" dxfId="1">
      <formula>A38="Green"</formula>
    </cfRule>
    <cfRule type="expression" priority="4" dxfId="2">
      <formula>A38="Amber"</formula>
    </cfRule>
    <cfRule type="expression" priority="5" dxfId="0">
      <formula>A38="Red"</formula>
    </cfRule>
  </conditionalFormatting>
  <conditionalFormatting sqref="A46:A48">
    <cfRule type="expression" priority="6" dxfId="1">
      <formula>A46="Green"</formula>
    </cfRule>
    <cfRule type="expression" priority="7" dxfId="2">
      <formula>A46="Amber"</formula>
    </cfRule>
    <cfRule type="expression" priority="8" dxfId="0">
      <formula>A46="Red"</formula>
    </cfRule>
  </conditionalFormatting>
  <pageMargins left="0.75" right="0.75" top="1" bottom="1" header="0.5" footer="0.5"/>
  <pageSetup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N58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1" t="inlineStr">
        <is>
          <t>P&amp;L | Actual vs Plan &amp; Forecast</t>
        </is>
      </c>
    </row>
    <row r="2" ht="29" customHeight="1">
      <c r="A2" s="2" t="inlineStr">
        <is>
          <t>IDR juta | blue cells are editable inputs; light green cells are formulas or links</t>
        </is>
      </c>
    </row>
    <row r="4" ht="30" customHeight="1">
      <c r="A4" s="9" t="inlineStr">
        <is>
          <t>Metric</t>
        </is>
      </c>
      <c r="B4" s="9" t="inlineStr">
        <is>
          <t>Jan 2026</t>
        </is>
      </c>
      <c r="C4" s="9" t="inlineStr">
        <is>
          <t>Feb 2026</t>
        </is>
      </c>
      <c r="D4" s="9" t="inlineStr">
        <is>
          <t>Mar 2026</t>
        </is>
      </c>
      <c r="E4" s="9" t="inlineStr">
        <is>
          <t>Apr 2026</t>
        </is>
      </c>
      <c r="F4" s="9" t="inlineStr">
        <is>
          <t>May 2026</t>
        </is>
      </c>
      <c r="G4" s="9" t="inlineStr">
        <is>
          <t>Jun 2026</t>
        </is>
      </c>
      <c r="H4" s="9" t="inlineStr">
        <is>
          <t>Jul 2026</t>
        </is>
      </c>
      <c r="I4" s="9" t="inlineStr">
        <is>
          <t>Aug 2026</t>
        </is>
      </c>
      <c r="J4" s="9" t="inlineStr">
        <is>
          <t>Sep 2026</t>
        </is>
      </c>
      <c r="K4" s="9" t="inlineStr">
        <is>
          <t>Oct 2026</t>
        </is>
      </c>
      <c r="L4" s="9" t="inlineStr">
        <is>
          <t>Nov 2026</t>
        </is>
      </c>
      <c r="M4" s="9" t="inlineStr">
        <is>
          <t>Dec 2026</t>
        </is>
      </c>
      <c r="N4" s="9" t="inlineStr">
        <is>
          <t>FY 2026</t>
        </is>
      </c>
    </row>
    <row r="5">
      <c r="A5" s="8" t="inlineStr">
        <is>
          <t>Actual</t>
        </is>
      </c>
    </row>
    <row r="6">
      <c r="A6" s="10" t="inlineStr">
        <is>
          <t>Revenue</t>
        </is>
      </c>
      <c r="B6" s="44" t="n">
        <v>12500</v>
      </c>
      <c r="C6" s="44" t="n">
        <v>13210</v>
      </c>
      <c r="D6" s="44" t="n">
        <v>12900</v>
      </c>
      <c r="E6" s="44" t="n">
        <v>13620</v>
      </c>
      <c r="F6" s="44" t="n">
        <v>14040</v>
      </c>
      <c r="G6" s="44" t="n">
        <v>14550</v>
      </c>
      <c r="H6" s="44" t="n">
        <v>14250</v>
      </c>
      <c r="I6" s="44" t="n">
        <v>14980</v>
      </c>
      <c r="J6" s="44" t="n">
        <v>15480</v>
      </c>
      <c r="K6" s="44" t="n">
        <v>16010</v>
      </c>
      <c r="L6" s="44" t="n">
        <v>16680</v>
      </c>
      <c r="M6" s="44" t="n">
        <v>17580</v>
      </c>
      <c r="N6" s="42">
        <f>SUM(B6:M6)</f>
        <v/>
      </c>
    </row>
    <row r="7">
      <c r="A7" s="10" t="inlineStr">
        <is>
          <t>COGS</t>
        </is>
      </c>
      <c r="B7" s="44" t="n">
        <v>6813</v>
      </c>
      <c r="C7" s="44" t="n">
        <v>7279</v>
      </c>
      <c r="D7" s="44" t="n">
        <v>7185</v>
      </c>
      <c r="E7" s="44" t="n">
        <v>7668</v>
      </c>
      <c r="F7" s="44" t="n">
        <v>7652</v>
      </c>
      <c r="G7" s="44" t="n">
        <v>8017</v>
      </c>
      <c r="H7" s="44" t="n">
        <v>7937</v>
      </c>
      <c r="I7" s="44" t="n">
        <v>8434</v>
      </c>
      <c r="J7" s="44" t="n">
        <v>8437</v>
      </c>
      <c r="K7" s="44" t="n">
        <v>8822</v>
      </c>
      <c r="L7" s="44" t="n">
        <v>9291</v>
      </c>
      <c r="M7" s="44" t="n">
        <v>9898</v>
      </c>
      <c r="N7" s="42">
        <f>SUM(B7:M7)</f>
        <v/>
      </c>
    </row>
    <row r="8">
      <c r="A8" s="10" t="inlineStr">
        <is>
          <t>Gross Profit</t>
        </is>
      </c>
      <c r="B8" s="42">
        <f>B6-B7</f>
        <v/>
      </c>
      <c r="C8" s="42">
        <f>C6-C7</f>
        <v/>
      </c>
      <c r="D8" s="42">
        <f>D6-D7</f>
        <v/>
      </c>
      <c r="E8" s="42">
        <f>E6-E7</f>
        <v/>
      </c>
      <c r="F8" s="42">
        <f>F6-F7</f>
        <v/>
      </c>
      <c r="G8" s="42">
        <f>G6-G7</f>
        <v/>
      </c>
      <c r="H8" s="42">
        <f>H6-H7</f>
        <v/>
      </c>
      <c r="I8" s="42">
        <f>I6-I7</f>
        <v/>
      </c>
      <c r="J8" s="42">
        <f>J6-J7</f>
        <v/>
      </c>
      <c r="K8" s="42">
        <f>K6-K7</f>
        <v/>
      </c>
      <c r="L8" s="42">
        <f>L6-L7</f>
        <v/>
      </c>
      <c r="M8" s="42">
        <f>M6-M7</f>
        <v/>
      </c>
      <c r="N8" s="42">
        <f>SUM(B8:M8)</f>
        <v/>
      </c>
    </row>
    <row r="9">
      <c r="A9" s="10" t="inlineStr">
        <is>
          <t>Gross Margin</t>
        </is>
      </c>
      <c r="B9" s="43">
        <f>IFERROR(B8/B6,0)</f>
        <v/>
      </c>
      <c r="C9" s="43">
        <f>IFERROR(C8/C6,0)</f>
        <v/>
      </c>
      <c r="D9" s="43">
        <f>IFERROR(D8/D6,0)</f>
        <v/>
      </c>
      <c r="E9" s="43">
        <f>IFERROR(E8/E6,0)</f>
        <v/>
      </c>
      <c r="F9" s="43">
        <f>IFERROR(F8/F6,0)</f>
        <v/>
      </c>
      <c r="G9" s="43">
        <f>IFERROR(G8/G6,0)</f>
        <v/>
      </c>
      <c r="H9" s="43">
        <f>IFERROR(H8/H6,0)</f>
        <v/>
      </c>
      <c r="I9" s="43">
        <f>IFERROR(I8/I6,0)</f>
        <v/>
      </c>
      <c r="J9" s="43">
        <f>IFERROR(J8/J6,0)</f>
        <v/>
      </c>
      <c r="K9" s="43">
        <f>IFERROR(K8/K6,0)</f>
        <v/>
      </c>
      <c r="L9" s="43">
        <f>IFERROR(L8/L6,0)</f>
        <v/>
      </c>
      <c r="M9" s="43">
        <f>IFERROR(M8/M6,0)</f>
        <v/>
      </c>
      <c r="N9" s="43">
        <f>IFERROR(N8/N6,0)</f>
        <v/>
      </c>
    </row>
    <row r="10">
      <c r="A10" s="10" t="inlineStr">
        <is>
          <t>Trade Investment</t>
        </is>
      </c>
      <c r="B10" s="44" t="n">
        <v>938</v>
      </c>
      <c r="C10" s="44" t="n">
        <v>1044</v>
      </c>
      <c r="D10" s="44" t="n">
        <v>1071</v>
      </c>
      <c r="E10" s="44" t="n">
        <v>1022</v>
      </c>
      <c r="F10" s="44" t="n">
        <v>1109</v>
      </c>
      <c r="G10" s="44" t="n">
        <v>1208</v>
      </c>
      <c r="H10" s="44" t="n">
        <v>1069</v>
      </c>
      <c r="I10" s="44" t="n">
        <v>1183</v>
      </c>
      <c r="J10" s="44" t="n">
        <v>1285</v>
      </c>
      <c r="K10" s="44" t="n">
        <v>1201</v>
      </c>
      <c r="L10" s="44" t="n">
        <v>1318</v>
      </c>
      <c r="M10" s="44" t="n">
        <v>1459</v>
      </c>
      <c r="N10" s="42">
        <f>SUM(B10:M10)</f>
        <v/>
      </c>
    </row>
    <row r="11">
      <c r="A11" s="10" t="inlineStr">
        <is>
          <t>A&amp;P</t>
        </is>
      </c>
      <c r="B11" s="44" t="n">
        <v>425</v>
      </c>
      <c r="C11" s="44" t="n">
        <v>476</v>
      </c>
      <c r="D11" s="44" t="n">
        <v>490</v>
      </c>
      <c r="E11" s="44" t="n">
        <v>545</v>
      </c>
      <c r="F11" s="44" t="n">
        <v>477</v>
      </c>
      <c r="G11" s="44" t="n">
        <v>524</v>
      </c>
      <c r="H11" s="44" t="n">
        <v>542</v>
      </c>
      <c r="I11" s="44" t="n">
        <v>599</v>
      </c>
      <c r="J11" s="44" t="n">
        <v>526</v>
      </c>
      <c r="K11" s="44" t="n">
        <v>576</v>
      </c>
      <c r="L11" s="44" t="n">
        <v>634</v>
      </c>
      <c r="M11" s="44" t="n">
        <v>703</v>
      </c>
      <c r="N11" s="42">
        <f>SUM(B11:M11)</f>
        <v/>
      </c>
    </row>
    <row r="12">
      <c r="A12" s="10" t="inlineStr">
        <is>
          <t>Overhead</t>
        </is>
      </c>
      <c r="B12" s="44" t="n">
        <v>1450</v>
      </c>
      <c r="C12" s="44" t="n">
        <v>1507</v>
      </c>
      <c r="D12" s="44" t="n">
        <v>1564</v>
      </c>
      <c r="E12" s="44" t="n">
        <v>1516</v>
      </c>
      <c r="F12" s="44" t="n">
        <v>1573</v>
      </c>
      <c r="G12" s="44" t="n">
        <v>1630</v>
      </c>
      <c r="H12" s="44" t="n">
        <v>1582</v>
      </c>
      <c r="I12" s="44" t="n">
        <v>1639</v>
      </c>
      <c r="J12" s="44" t="n">
        <v>1696</v>
      </c>
      <c r="K12" s="44" t="n">
        <v>1648</v>
      </c>
      <c r="L12" s="44" t="n">
        <v>1705</v>
      </c>
      <c r="M12" s="44" t="n">
        <v>1762</v>
      </c>
      <c r="N12" s="42">
        <f>SUM(B12:M12)</f>
        <v/>
      </c>
    </row>
    <row r="13">
      <c r="A13" s="10" t="inlineStr">
        <is>
          <t>EBITDA</t>
        </is>
      </c>
      <c r="B13" s="42">
        <f>B8-B10-B11-B12</f>
        <v/>
      </c>
      <c r="C13" s="42">
        <f>C8-C10-C11-C12</f>
        <v/>
      </c>
      <c r="D13" s="42">
        <f>D8-D10-D11-D12</f>
        <v/>
      </c>
      <c r="E13" s="42">
        <f>E8-E10-E11-E12</f>
        <v/>
      </c>
      <c r="F13" s="42">
        <f>F8-F10-F11-F12</f>
        <v/>
      </c>
      <c r="G13" s="42">
        <f>G8-G10-G11-G12</f>
        <v/>
      </c>
      <c r="H13" s="42">
        <f>H8-H10-H11-H12</f>
        <v/>
      </c>
      <c r="I13" s="42">
        <f>I8-I10-I11-I12</f>
        <v/>
      </c>
      <c r="J13" s="42">
        <f>J8-J10-J11-J12</f>
        <v/>
      </c>
      <c r="K13" s="42">
        <f>K8-K10-K11-K12</f>
        <v/>
      </c>
      <c r="L13" s="42">
        <f>L8-L10-L11-L12</f>
        <v/>
      </c>
      <c r="M13" s="42">
        <f>M8-M10-M11-M12</f>
        <v/>
      </c>
      <c r="N13" s="42">
        <f>SUM(B13:M13)</f>
        <v/>
      </c>
    </row>
    <row r="14">
      <c r="A14" s="10" t="inlineStr">
        <is>
          <t>EBITDA Margin</t>
        </is>
      </c>
      <c r="B14" s="43">
        <f>IFERROR(B13/B6,0)</f>
        <v/>
      </c>
      <c r="C14" s="43">
        <f>IFERROR(C13/C6,0)</f>
        <v/>
      </c>
      <c r="D14" s="43">
        <f>IFERROR(D13/D6,0)</f>
        <v/>
      </c>
      <c r="E14" s="43">
        <f>IFERROR(E13/E6,0)</f>
        <v/>
      </c>
      <c r="F14" s="43">
        <f>IFERROR(F13/F6,0)</f>
        <v/>
      </c>
      <c r="G14" s="43">
        <f>IFERROR(G13/G6,0)</f>
        <v/>
      </c>
      <c r="H14" s="43">
        <f>IFERROR(H13/H6,0)</f>
        <v/>
      </c>
      <c r="I14" s="43">
        <f>IFERROR(I13/I6,0)</f>
        <v/>
      </c>
      <c r="J14" s="43">
        <f>IFERROR(J13/J6,0)</f>
        <v/>
      </c>
      <c r="K14" s="43">
        <f>IFERROR(K13/K6,0)</f>
        <v/>
      </c>
      <c r="L14" s="43">
        <f>IFERROR(L13/L6,0)</f>
        <v/>
      </c>
      <c r="M14" s="43">
        <f>IFERROR(M13/M6,0)</f>
        <v/>
      </c>
      <c r="N14" s="43">
        <f>IFERROR(N13/N6,0)</f>
        <v/>
      </c>
    </row>
    <row r="17">
      <c r="A17" s="8" t="inlineStr">
        <is>
          <t>Annual Plan</t>
        </is>
      </c>
    </row>
    <row r="18">
      <c r="A18" s="10" t="inlineStr">
        <is>
          <t>Revenue</t>
        </is>
      </c>
      <c r="B18" s="44" t="n">
        <v>12937</v>
      </c>
      <c r="C18" s="44" t="n">
        <v>13752</v>
      </c>
      <c r="D18" s="44" t="n">
        <v>13506</v>
      </c>
      <c r="E18" s="44" t="n">
        <v>14097</v>
      </c>
      <c r="F18" s="44" t="n">
        <v>14616</v>
      </c>
      <c r="G18" s="44" t="n">
        <v>15234</v>
      </c>
      <c r="H18" s="44" t="n">
        <v>14749</v>
      </c>
      <c r="I18" s="44" t="n">
        <v>15594</v>
      </c>
      <c r="J18" s="44" t="n">
        <v>16208</v>
      </c>
      <c r="K18" s="44" t="n">
        <v>16570</v>
      </c>
      <c r="L18" s="44" t="n">
        <v>17364</v>
      </c>
      <c r="M18" s="44" t="n">
        <v>18406</v>
      </c>
      <c r="N18" s="42">
        <f>SUM(B18:M18)</f>
        <v/>
      </c>
    </row>
    <row r="19">
      <c r="A19" s="10" t="inlineStr">
        <is>
          <t>COGS</t>
        </is>
      </c>
      <c r="B19" s="44" t="n">
        <v>6986</v>
      </c>
      <c r="C19" s="44" t="n">
        <v>7481</v>
      </c>
      <c r="D19" s="44" t="n">
        <v>7401</v>
      </c>
      <c r="E19" s="44" t="n">
        <v>7782</v>
      </c>
      <c r="F19" s="44" t="n">
        <v>7893</v>
      </c>
      <c r="G19" s="44" t="n">
        <v>8287</v>
      </c>
      <c r="H19" s="44" t="n">
        <v>8082</v>
      </c>
      <c r="I19" s="44" t="n">
        <v>8608</v>
      </c>
      <c r="J19" s="44" t="n">
        <v>8752</v>
      </c>
      <c r="K19" s="44" t="n">
        <v>9014</v>
      </c>
      <c r="L19" s="44" t="n">
        <v>9515</v>
      </c>
      <c r="M19" s="44" t="n">
        <v>10160</v>
      </c>
      <c r="N19" s="42">
        <f>SUM(B19:M19)</f>
        <v/>
      </c>
    </row>
    <row r="20">
      <c r="A20" s="10" t="inlineStr">
        <is>
          <t>Gross Profit</t>
        </is>
      </c>
      <c r="B20" s="42">
        <f>B18-B19</f>
        <v/>
      </c>
      <c r="C20" s="42">
        <f>C18-C19</f>
        <v/>
      </c>
      <c r="D20" s="42">
        <f>D18-D19</f>
        <v/>
      </c>
      <c r="E20" s="42">
        <f>E18-E19</f>
        <v/>
      </c>
      <c r="F20" s="42">
        <f>F18-F19</f>
        <v/>
      </c>
      <c r="G20" s="42">
        <f>G18-G19</f>
        <v/>
      </c>
      <c r="H20" s="42">
        <f>H18-H19</f>
        <v/>
      </c>
      <c r="I20" s="42">
        <f>I18-I19</f>
        <v/>
      </c>
      <c r="J20" s="42">
        <f>J18-J19</f>
        <v/>
      </c>
      <c r="K20" s="42">
        <f>K18-K19</f>
        <v/>
      </c>
      <c r="L20" s="42">
        <f>L18-L19</f>
        <v/>
      </c>
      <c r="M20" s="42">
        <f>M18-M19</f>
        <v/>
      </c>
      <c r="N20" s="42">
        <f>SUM(B20:M20)</f>
        <v/>
      </c>
    </row>
    <row r="21">
      <c r="A21" s="10" t="inlineStr">
        <is>
          <t>Gross Margin</t>
        </is>
      </c>
      <c r="B21" s="43">
        <f>IFERROR(B20/B18,0)</f>
        <v/>
      </c>
      <c r="C21" s="43">
        <f>IFERROR(C20/C18,0)</f>
        <v/>
      </c>
      <c r="D21" s="43">
        <f>IFERROR(D20/D18,0)</f>
        <v/>
      </c>
      <c r="E21" s="43">
        <f>IFERROR(E20/E18,0)</f>
        <v/>
      </c>
      <c r="F21" s="43">
        <f>IFERROR(F20/F18,0)</f>
        <v/>
      </c>
      <c r="G21" s="43">
        <f>IFERROR(G20/G18,0)</f>
        <v/>
      </c>
      <c r="H21" s="43">
        <f>IFERROR(H20/H18,0)</f>
        <v/>
      </c>
      <c r="I21" s="43">
        <f>IFERROR(I20/I18,0)</f>
        <v/>
      </c>
      <c r="J21" s="43">
        <f>IFERROR(J20/J18,0)</f>
        <v/>
      </c>
      <c r="K21" s="43">
        <f>IFERROR(K20/K18,0)</f>
        <v/>
      </c>
      <c r="L21" s="43">
        <f>IFERROR(L20/L18,0)</f>
        <v/>
      </c>
      <c r="M21" s="43">
        <f>IFERROR(M20/M18,0)</f>
        <v/>
      </c>
      <c r="N21" s="43">
        <f>IFERROR(N20/N18,0)</f>
        <v/>
      </c>
    </row>
    <row r="22">
      <c r="A22" s="10" t="inlineStr">
        <is>
          <t>Trade Investment</t>
        </is>
      </c>
      <c r="B22" s="44" t="n">
        <v>944</v>
      </c>
      <c r="C22" s="44" t="n">
        <v>1045</v>
      </c>
      <c r="D22" s="44" t="n">
        <v>986</v>
      </c>
      <c r="E22" s="44" t="n">
        <v>1071</v>
      </c>
      <c r="F22" s="44" t="n">
        <v>1067</v>
      </c>
      <c r="G22" s="44" t="n">
        <v>1158</v>
      </c>
      <c r="H22" s="44" t="n">
        <v>1077</v>
      </c>
      <c r="I22" s="44" t="n">
        <v>1185</v>
      </c>
      <c r="J22" s="44" t="n">
        <v>1183</v>
      </c>
      <c r="K22" s="44" t="n">
        <v>1259</v>
      </c>
      <c r="L22" s="44" t="n">
        <v>1268</v>
      </c>
      <c r="M22" s="44" t="n">
        <v>1399</v>
      </c>
      <c r="N22" s="42">
        <f>SUM(B22:M22)</f>
        <v/>
      </c>
    </row>
    <row r="23">
      <c r="A23" s="10" t="inlineStr">
        <is>
          <t>A&amp;P</t>
        </is>
      </c>
      <c r="B23" s="44" t="n">
        <v>414</v>
      </c>
      <c r="C23" s="44" t="n">
        <v>454</v>
      </c>
      <c r="D23" s="44" t="n">
        <v>459</v>
      </c>
      <c r="E23" s="44" t="n">
        <v>451</v>
      </c>
      <c r="F23" s="44" t="n">
        <v>482</v>
      </c>
      <c r="G23" s="44" t="n">
        <v>518</v>
      </c>
      <c r="H23" s="44" t="n">
        <v>472</v>
      </c>
      <c r="I23" s="44" t="n">
        <v>515</v>
      </c>
      <c r="J23" s="44" t="n">
        <v>551</v>
      </c>
      <c r="K23" s="44" t="n">
        <v>530</v>
      </c>
      <c r="L23" s="44" t="n">
        <v>573</v>
      </c>
      <c r="M23" s="44" t="n">
        <v>626</v>
      </c>
      <c r="N23" s="42">
        <f>SUM(B23:M23)</f>
        <v/>
      </c>
    </row>
    <row r="24">
      <c r="A24" s="10" t="inlineStr">
        <is>
          <t>Overhead</t>
        </is>
      </c>
      <c r="B24" s="44" t="n">
        <v>1420</v>
      </c>
      <c r="C24" s="44" t="n">
        <v>1440</v>
      </c>
      <c r="D24" s="44" t="n">
        <v>1460</v>
      </c>
      <c r="E24" s="44" t="n">
        <v>1480</v>
      </c>
      <c r="F24" s="44" t="n">
        <v>1500</v>
      </c>
      <c r="G24" s="44" t="n">
        <v>1520</v>
      </c>
      <c r="H24" s="44" t="n">
        <v>1540</v>
      </c>
      <c r="I24" s="44" t="n">
        <v>1560</v>
      </c>
      <c r="J24" s="44" t="n">
        <v>1580</v>
      </c>
      <c r="K24" s="44" t="n">
        <v>1600</v>
      </c>
      <c r="L24" s="44" t="n">
        <v>1620</v>
      </c>
      <c r="M24" s="44" t="n">
        <v>1640</v>
      </c>
      <c r="N24" s="42">
        <f>SUM(B24:M24)</f>
        <v/>
      </c>
    </row>
    <row r="25">
      <c r="A25" s="10" t="inlineStr">
        <is>
          <t>EBITDA</t>
        </is>
      </c>
      <c r="B25" s="42">
        <f>B20-B22-B23-B24</f>
        <v/>
      </c>
      <c r="C25" s="42">
        <f>C20-C22-C23-C24</f>
        <v/>
      </c>
      <c r="D25" s="42">
        <f>D20-D22-D23-D24</f>
        <v/>
      </c>
      <c r="E25" s="42">
        <f>E20-E22-E23-E24</f>
        <v/>
      </c>
      <c r="F25" s="42">
        <f>F20-F22-F23-F24</f>
        <v/>
      </c>
      <c r="G25" s="42">
        <f>G20-G22-G23-G24</f>
        <v/>
      </c>
      <c r="H25" s="42">
        <f>H20-H22-H23-H24</f>
        <v/>
      </c>
      <c r="I25" s="42">
        <f>I20-I22-I23-I24</f>
        <v/>
      </c>
      <c r="J25" s="42">
        <f>J20-J22-J23-J24</f>
        <v/>
      </c>
      <c r="K25" s="42">
        <f>K20-K22-K23-K24</f>
        <v/>
      </c>
      <c r="L25" s="42">
        <f>L20-L22-L23-L24</f>
        <v/>
      </c>
      <c r="M25" s="42">
        <f>M20-M22-M23-M24</f>
        <v/>
      </c>
      <c r="N25" s="42">
        <f>SUM(B25:M25)</f>
        <v/>
      </c>
    </row>
    <row r="26">
      <c r="A26" s="10" t="inlineStr">
        <is>
          <t>EBITDA Margin</t>
        </is>
      </c>
      <c r="B26" s="43">
        <f>IFERROR(B25/B18,0)</f>
        <v/>
      </c>
      <c r="C26" s="43">
        <f>IFERROR(C25/C18,0)</f>
        <v/>
      </c>
      <c r="D26" s="43">
        <f>IFERROR(D25/D18,0)</f>
        <v/>
      </c>
      <c r="E26" s="43">
        <f>IFERROR(E25/E18,0)</f>
        <v/>
      </c>
      <c r="F26" s="43">
        <f>IFERROR(F25/F18,0)</f>
        <v/>
      </c>
      <c r="G26" s="43">
        <f>IFERROR(G25/G18,0)</f>
        <v/>
      </c>
      <c r="H26" s="43">
        <f>IFERROR(H25/H18,0)</f>
        <v/>
      </c>
      <c r="I26" s="43">
        <f>IFERROR(I25/I18,0)</f>
        <v/>
      </c>
      <c r="J26" s="43">
        <f>IFERROR(J25/J18,0)</f>
        <v/>
      </c>
      <c r="K26" s="43">
        <f>IFERROR(K25/K18,0)</f>
        <v/>
      </c>
      <c r="L26" s="43">
        <f>IFERROR(L25/L18,0)</f>
        <v/>
      </c>
      <c r="M26" s="43">
        <f>IFERROR(M25/M18,0)</f>
        <v/>
      </c>
      <c r="N26" s="43">
        <f>IFERROR(N25/N18,0)</f>
        <v/>
      </c>
    </row>
    <row r="29">
      <c r="A29" s="8" t="inlineStr">
        <is>
          <t>Major Forecast</t>
        </is>
      </c>
    </row>
    <row r="30">
      <c r="A30" s="10" t="inlineStr">
        <is>
          <t>Revenue</t>
        </is>
      </c>
      <c r="B30" s="44" t="n">
        <v>12650</v>
      </c>
      <c r="C30" s="44" t="n">
        <v>13421</v>
      </c>
      <c r="D30" s="44" t="n">
        <v>13158</v>
      </c>
      <c r="E30" s="44" t="n">
        <v>13947</v>
      </c>
      <c r="F30" s="44" t="n">
        <v>14208</v>
      </c>
      <c r="G30" s="44" t="n">
        <v>14783</v>
      </c>
      <c r="H30" s="44" t="n">
        <v>14535</v>
      </c>
      <c r="I30" s="44" t="n">
        <v>15340</v>
      </c>
      <c r="J30" s="44" t="n">
        <v>15666</v>
      </c>
      <c r="K30" s="44" t="n">
        <v>16266</v>
      </c>
      <c r="L30" s="44" t="n">
        <v>17014</v>
      </c>
      <c r="M30" s="44" t="n">
        <v>18002</v>
      </c>
      <c r="N30" s="42">
        <f>SUM(B30:M30)</f>
        <v/>
      </c>
    </row>
    <row r="31">
      <c r="A31" s="10" t="inlineStr">
        <is>
          <t>COGS</t>
        </is>
      </c>
      <c r="B31" s="44" t="n">
        <v>6856</v>
      </c>
      <c r="C31" s="44" t="n">
        <v>7328</v>
      </c>
      <c r="D31" s="44" t="n">
        <v>7237</v>
      </c>
      <c r="E31" s="44" t="n">
        <v>7727</v>
      </c>
      <c r="F31" s="44" t="n">
        <v>7928</v>
      </c>
      <c r="G31" s="44" t="n">
        <v>8012</v>
      </c>
      <c r="H31" s="44" t="n">
        <v>7936</v>
      </c>
      <c r="I31" s="44" t="n">
        <v>8437</v>
      </c>
      <c r="J31" s="44" t="n">
        <v>8679</v>
      </c>
      <c r="K31" s="44" t="n">
        <v>9076</v>
      </c>
      <c r="L31" s="44" t="n">
        <v>9222</v>
      </c>
      <c r="M31" s="44" t="n">
        <v>9829</v>
      </c>
      <c r="N31" s="42">
        <f>SUM(B31:M31)</f>
        <v/>
      </c>
    </row>
    <row r="32">
      <c r="A32" s="10" t="inlineStr">
        <is>
          <t>Gross Profit</t>
        </is>
      </c>
      <c r="B32" s="42">
        <f>B30-B31</f>
        <v/>
      </c>
      <c r="C32" s="42">
        <f>C30-C31</f>
        <v/>
      </c>
      <c r="D32" s="42">
        <f>D30-D31</f>
        <v/>
      </c>
      <c r="E32" s="42">
        <f>E30-E31</f>
        <v/>
      </c>
      <c r="F32" s="42">
        <f>F30-F31</f>
        <v/>
      </c>
      <c r="G32" s="42">
        <f>G30-G31</f>
        <v/>
      </c>
      <c r="H32" s="42">
        <f>H30-H31</f>
        <v/>
      </c>
      <c r="I32" s="42">
        <f>I30-I31</f>
        <v/>
      </c>
      <c r="J32" s="42">
        <f>J30-J31</f>
        <v/>
      </c>
      <c r="K32" s="42">
        <f>K30-K31</f>
        <v/>
      </c>
      <c r="L32" s="42">
        <f>L30-L31</f>
        <v/>
      </c>
      <c r="M32" s="42">
        <f>M30-M31</f>
        <v/>
      </c>
      <c r="N32" s="42">
        <f>SUM(B32:M32)</f>
        <v/>
      </c>
    </row>
    <row r="33">
      <c r="A33" s="10" t="inlineStr">
        <is>
          <t>Gross Margin</t>
        </is>
      </c>
      <c r="B33" s="43">
        <f>IFERROR(B32/B30,0)</f>
        <v/>
      </c>
      <c r="C33" s="43">
        <f>IFERROR(C32/C30,0)</f>
        <v/>
      </c>
      <c r="D33" s="43">
        <f>IFERROR(D32/D30,0)</f>
        <v/>
      </c>
      <c r="E33" s="43">
        <f>IFERROR(E32/E30,0)</f>
        <v/>
      </c>
      <c r="F33" s="43">
        <f>IFERROR(F32/F30,0)</f>
        <v/>
      </c>
      <c r="G33" s="43">
        <f>IFERROR(G32/G30,0)</f>
        <v/>
      </c>
      <c r="H33" s="43">
        <f>IFERROR(H32/H30,0)</f>
        <v/>
      </c>
      <c r="I33" s="43">
        <f>IFERROR(I32/I30,0)</f>
        <v/>
      </c>
      <c r="J33" s="43">
        <f>IFERROR(J32/J30,0)</f>
        <v/>
      </c>
      <c r="K33" s="43">
        <f>IFERROR(K32/K30,0)</f>
        <v/>
      </c>
      <c r="L33" s="43">
        <f>IFERROR(L32/L30,0)</f>
        <v/>
      </c>
      <c r="M33" s="43">
        <f>IFERROR(M32/M30,0)</f>
        <v/>
      </c>
      <c r="N33" s="43">
        <f>IFERROR(N32/N30,0)</f>
        <v/>
      </c>
    </row>
    <row r="34">
      <c r="A34" s="10" t="inlineStr">
        <is>
          <t>Trade Investment</t>
        </is>
      </c>
      <c r="B34" s="44" t="n">
        <v>961</v>
      </c>
      <c r="C34" s="44" t="n">
        <v>1047</v>
      </c>
      <c r="D34" s="44" t="n">
        <v>1053</v>
      </c>
      <c r="E34" s="44" t="n">
        <v>1060</v>
      </c>
      <c r="F34" s="44" t="n">
        <v>1108</v>
      </c>
      <c r="G34" s="44" t="n">
        <v>1183</v>
      </c>
      <c r="H34" s="44" t="n">
        <v>1105</v>
      </c>
      <c r="I34" s="44" t="n">
        <v>1197</v>
      </c>
      <c r="J34" s="44" t="n">
        <v>1253</v>
      </c>
      <c r="K34" s="44" t="n">
        <v>1236</v>
      </c>
      <c r="L34" s="44" t="n">
        <v>1327</v>
      </c>
      <c r="M34" s="44" t="n">
        <v>1440</v>
      </c>
      <c r="N34" s="42">
        <f>SUM(B34:M34)</f>
        <v/>
      </c>
    </row>
    <row r="35">
      <c r="A35" s="10" t="inlineStr">
        <is>
          <t>A&amp;P</t>
        </is>
      </c>
      <c r="B35" s="44" t="n">
        <v>443</v>
      </c>
      <c r="C35" s="44" t="n">
        <v>483</v>
      </c>
      <c r="D35" s="44" t="n">
        <v>487</v>
      </c>
      <c r="E35" s="44" t="n">
        <v>530</v>
      </c>
      <c r="F35" s="44" t="n">
        <v>497</v>
      </c>
      <c r="G35" s="44" t="n">
        <v>532</v>
      </c>
      <c r="H35" s="44" t="n">
        <v>538</v>
      </c>
      <c r="I35" s="44" t="n">
        <v>583</v>
      </c>
      <c r="J35" s="44" t="n">
        <v>548</v>
      </c>
      <c r="K35" s="44" t="n">
        <v>586</v>
      </c>
      <c r="L35" s="44" t="n">
        <v>630</v>
      </c>
      <c r="M35" s="44" t="n">
        <v>684</v>
      </c>
      <c r="N35" s="42">
        <f>SUM(B35:M35)</f>
        <v/>
      </c>
    </row>
    <row r="36">
      <c r="A36" s="10" t="inlineStr">
        <is>
          <t>Overhead</t>
        </is>
      </c>
      <c r="B36" s="44" t="n">
        <v>1460</v>
      </c>
      <c r="C36" s="44" t="n">
        <v>1482</v>
      </c>
      <c r="D36" s="44" t="n">
        <v>1504</v>
      </c>
      <c r="E36" s="44" t="n">
        <v>1526</v>
      </c>
      <c r="F36" s="44" t="n">
        <v>1548</v>
      </c>
      <c r="G36" s="44" t="n">
        <v>1570</v>
      </c>
      <c r="H36" s="44" t="n">
        <v>1592</v>
      </c>
      <c r="I36" s="44" t="n">
        <v>1614</v>
      </c>
      <c r="J36" s="44" t="n">
        <v>1636</v>
      </c>
      <c r="K36" s="44" t="n">
        <v>1658</v>
      </c>
      <c r="L36" s="44" t="n">
        <v>1680</v>
      </c>
      <c r="M36" s="44" t="n">
        <v>1702</v>
      </c>
      <c r="N36" s="42">
        <f>SUM(B36:M36)</f>
        <v/>
      </c>
    </row>
    <row r="37">
      <c r="A37" s="10" t="inlineStr">
        <is>
          <t>EBITDA</t>
        </is>
      </c>
      <c r="B37" s="42">
        <f>B32-B34-B35-B36</f>
        <v/>
      </c>
      <c r="C37" s="42">
        <f>C32-C34-C35-C36</f>
        <v/>
      </c>
      <c r="D37" s="42">
        <f>D32-D34-D35-D36</f>
        <v/>
      </c>
      <c r="E37" s="42">
        <f>E32-E34-E35-E36</f>
        <v/>
      </c>
      <c r="F37" s="42">
        <f>F32-F34-F35-F36</f>
        <v/>
      </c>
      <c r="G37" s="42">
        <f>G32-G34-G35-G36</f>
        <v/>
      </c>
      <c r="H37" s="42">
        <f>H32-H34-H35-H36</f>
        <v/>
      </c>
      <c r="I37" s="42">
        <f>I32-I34-I35-I36</f>
        <v/>
      </c>
      <c r="J37" s="42">
        <f>J32-J34-J35-J36</f>
        <v/>
      </c>
      <c r="K37" s="42">
        <f>K32-K34-K35-K36</f>
        <v/>
      </c>
      <c r="L37" s="42">
        <f>L32-L34-L35-L36</f>
        <v/>
      </c>
      <c r="M37" s="42">
        <f>M32-M34-M35-M36</f>
        <v/>
      </c>
      <c r="N37" s="42">
        <f>SUM(B37:M37)</f>
        <v/>
      </c>
    </row>
    <row r="38">
      <c r="A38" s="10" t="inlineStr">
        <is>
          <t>EBITDA Margin</t>
        </is>
      </c>
      <c r="B38" s="43">
        <f>IFERROR(B37/B30,0)</f>
        <v/>
      </c>
      <c r="C38" s="43">
        <f>IFERROR(C37/C30,0)</f>
        <v/>
      </c>
      <c r="D38" s="43">
        <f>IFERROR(D37/D30,0)</f>
        <v/>
      </c>
      <c r="E38" s="43">
        <f>IFERROR(E37/E30,0)</f>
        <v/>
      </c>
      <c r="F38" s="43">
        <f>IFERROR(F37/F30,0)</f>
        <v/>
      </c>
      <c r="G38" s="43">
        <f>IFERROR(G37/G30,0)</f>
        <v/>
      </c>
      <c r="H38" s="43">
        <f>IFERROR(H37/H30,0)</f>
        <v/>
      </c>
      <c r="I38" s="43">
        <f>IFERROR(I37/I30,0)</f>
        <v/>
      </c>
      <c r="J38" s="43">
        <f>IFERROR(J37/J30,0)</f>
        <v/>
      </c>
      <c r="K38" s="43">
        <f>IFERROR(K37/K30,0)</f>
        <v/>
      </c>
      <c r="L38" s="43">
        <f>IFERROR(L37/L30,0)</f>
        <v/>
      </c>
      <c r="M38" s="43">
        <f>IFERROR(M37/M30,0)</f>
        <v/>
      </c>
      <c r="N38" s="43">
        <f>IFERROR(N37/N30,0)</f>
        <v/>
      </c>
    </row>
    <row r="41">
      <c r="A41" s="8" t="inlineStr">
        <is>
          <t>Rolling Forecast</t>
        </is>
      </c>
    </row>
    <row r="42">
      <c r="A42" s="10" t="inlineStr">
        <is>
          <t>Revenue</t>
        </is>
      </c>
      <c r="B42" s="44" t="n">
        <v>12750</v>
      </c>
      <c r="C42" s="44" t="n">
        <v>13514</v>
      </c>
      <c r="D42" s="44" t="n">
        <v>13235</v>
      </c>
      <c r="E42" s="44" t="n">
        <v>14015</v>
      </c>
      <c r="F42" s="44" t="n">
        <v>14489</v>
      </c>
      <c r="G42" s="44" t="n">
        <v>14841</v>
      </c>
      <c r="H42" s="44" t="n">
        <v>14578</v>
      </c>
      <c r="I42" s="44" t="n">
        <v>15369</v>
      </c>
      <c r="J42" s="44" t="n">
        <v>15929</v>
      </c>
      <c r="K42" s="44" t="n">
        <v>16522</v>
      </c>
      <c r="L42" s="44" t="n">
        <v>17014</v>
      </c>
      <c r="M42" s="44" t="n">
        <v>17984</v>
      </c>
      <c r="N42" s="42">
        <f>SUM(B42:M42)</f>
        <v/>
      </c>
    </row>
    <row r="43">
      <c r="A43" s="10" t="inlineStr">
        <is>
          <t>COGS</t>
        </is>
      </c>
      <c r="B43" s="44" t="n">
        <v>6898</v>
      </c>
      <c r="C43" s="44" t="n">
        <v>7379</v>
      </c>
      <c r="D43" s="44" t="n">
        <v>7292</v>
      </c>
      <c r="E43" s="44" t="n">
        <v>7792</v>
      </c>
      <c r="F43" s="44" t="n">
        <v>7839</v>
      </c>
      <c r="G43" s="44" t="n">
        <v>8103</v>
      </c>
      <c r="H43" s="44" t="n">
        <v>8032</v>
      </c>
      <c r="I43" s="44" t="n">
        <v>8545</v>
      </c>
      <c r="J43" s="44" t="n">
        <v>8618</v>
      </c>
      <c r="K43" s="44" t="n">
        <v>9021</v>
      </c>
      <c r="L43" s="44" t="n">
        <v>9375</v>
      </c>
      <c r="M43" s="44" t="n">
        <v>9999</v>
      </c>
      <c r="N43" s="42">
        <f>SUM(B43:M43)</f>
        <v/>
      </c>
    </row>
    <row r="44">
      <c r="A44" s="10" t="inlineStr">
        <is>
          <t>Gross Profit</t>
        </is>
      </c>
      <c r="B44" s="42">
        <f>B42-B43</f>
        <v/>
      </c>
      <c r="C44" s="42">
        <f>C42-C43</f>
        <v/>
      </c>
      <c r="D44" s="42">
        <f>D42-D43</f>
        <v/>
      </c>
      <c r="E44" s="42">
        <f>E42-E43</f>
        <v/>
      </c>
      <c r="F44" s="42">
        <f>F42-F43</f>
        <v/>
      </c>
      <c r="G44" s="42">
        <f>G42-G43</f>
        <v/>
      </c>
      <c r="H44" s="42">
        <f>H42-H43</f>
        <v/>
      </c>
      <c r="I44" s="42">
        <f>I42-I43</f>
        <v/>
      </c>
      <c r="J44" s="42">
        <f>J42-J43</f>
        <v/>
      </c>
      <c r="K44" s="42">
        <f>K42-K43</f>
        <v/>
      </c>
      <c r="L44" s="42">
        <f>L42-L43</f>
        <v/>
      </c>
      <c r="M44" s="42">
        <f>M42-M43</f>
        <v/>
      </c>
      <c r="N44" s="42">
        <f>SUM(B44:M44)</f>
        <v/>
      </c>
    </row>
    <row r="45">
      <c r="A45" s="10" t="inlineStr">
        <is>
          <t>Gross Margin</t>
        </is>
      </c>
      <c r="B45" s="43">
        <f>IFERROR(B44/B42,0)</f>
        <v/>
      </c>
      <c r="C45" s="43">
        <f>IFERROR(C44/C42,0)</f>
        <v/>
      </c>
      <c r="D45" s="43">
        <f>IFERROR(D44/D42,0)</f>
        <v/>
      </c>
      <c r="E45" s="43">
        <f>IFERROR(E44/E42,0)</f>
        <v/>
      </c>
      <c r="F45" s="43">
        <f>IFERROR(F44/F42,0)</f>
        <v/>
      </c>
      <c r="G45" s="43">
        <f>IFERROR(G44/G42,0)</f>
        <v/>
      </c>
      <c r="H45" s="43">
        <f>IFERROR(H44/H42,0)</f>
        <v/>
      </c>
      <c r="I45" s="43">
        <f>IFERROR(I44/I42,0)</f>
        <v/>
      </c>
      <c r="J45" s="43">
        <f>IFERROR(J44/J42,0)</f>
        <v/>
      </c>
      <c r="K45" s="43">
        <f>IFERROR(K44/K42,0)</f>
        <v/>
      </c>
      <c r="L45" s="43">
        <f>IFERROR(L44/L42,0)</f>
        <v/>
      </c>
      <c r="M45" s="43">
        <f>IFERROR(M44/M42,0)</f>
        <v/>
      </c>
      <c r="N45" s="43">
        <f>IFERROR(N44/N42,0)</f>
        <v/>
      </c>
    </row>
    <row r="46">
      <c r="A46" s="10" t="inlineStr">
        <is>
          <t>Trade Investment</t>
        </is>
      </c>
      <c r="B46" s="44" t="n">
        <v>944</v>
      </c>
      <c r="C46" s="44" t="n">
        <v>1041</v>
      </c>
      <c r="D46" s="44" t="n">
        <v>1059</v>
      </c>
      <c r="E46" s="44" t="n">
        <v>1037</v>
      </c>
      <c r="F46" s="44" t="n">
        <v>1116</v>
      </c>
      <c r="G46" s="44" t="n">
        <v>1187</v>
      </c>
      <c r="H46" s="44" t="n">
        <v>1079</v>
      </c>
      <c r="I46" s="44" t="n">
        <v>1183</v>
      </c>
      <c r="J46" s="44" t="n">
        <v>1274</v>
      </c>
      <c r="K46" s="44" t="n">
        <v>1223</v>
      </c>
      <c r="L46" s="44" t="n">
        <v>1310</v>
      </c>
      <c r="M46" s="44" t="n">
        <v>1439</v>
      </c>
      <c r="N46" s="42">
        <f>SUM(B46:M46)</f>
        <v/>
      </c>
    </row>
    <row r="47">
      <c r="A47" s="10" t="inlineStr">
        <is>
          <t>A&amp;P</t>
        </is>
      </c>
      <c r="B47" s="44" t="n">
        <v>421</v>
      </c>
      <c r="C47" s="44" t="n">
        <v>459</v>
      </c>
      <c r="D47" s="44" t="n">
        <v>463</v>
      </c>
      <c r="E47" s="44" t="n">
        <v>505</v>
      </c>
      <c r="F47" s="44" t="n">
        <v>478</v>
      </c>
      <c r="G47" s="44" t="n">
        <v>505</v>
      </c>
      <c r="H47" s="44" t="n">
        <v>510</v>
      </c>
      <c r="I47" s="44" t="n">
        <v>553</v>
      </c>
      <c r="J47" s="44" t="n">
        <v>526</v>
      </c>
      <c r="K47" s="44" t="n">
        <v>562</v>
      </c>
      <c r="L47" s="44" t="n">
        <v>595</v>
      </c>
      <c r="M47" s="44" t="n">
        <v>647</v>
      </c>
      <c r="N47" s="42">
        <f>SUM(B47:M47)</f>
        <v/>
      </c>
    </row>
    <row r="48">
      <c r="A48" s="10" t="inlineStr">
        <is>
          <t>Overhead</t>
        </is>
      </c>
      <c r="B48" s="44" t="n">
        <v>1440</v>
      </c>
      <c r="C48" s="44" t="n">
        <v>1463</v>
      </c>
      <c r="D48" s="44" t="n">
        <v>1486</v>
      </c>
      <c r="E48" s="44" t="n">
        <v>1509</v>
      </c>
      <c r="F48" s="44" t="n">
        <v>1532</v>
      </c>
      <c r="G48" s="44" t="n">
        <v>1555</v>
      </c>
      <c r="H48" s="44" t="n">
        <v>1578</v>
      </c>
      <c r="I48" s="44" t="n">
        <v>1601</v>
      </c>
      <c r="J48" s="44" t="n">
        <v>1624</v>
      </c>
      <c r="K48" s="44" t="n">
        <v>1647</v>
      </c>
      <c r="L48" s="44" t="n">
        <v>1670</v>
      </c>
      <c r="M48" s="44" t="n">
        <v>1693</v>
      </c>
      <c r="N48" s="42">
        <f>SUM(B48:M48)</f>
        <v/>
      </c>
    </row>
    <row r="49">
      <c r="A49" s="10" t="inlineStr">
        <is>
          <t>EBITDA</t>
        </is>
      </c>
      <c r="B49" s="42">
        <f>B44-B46-B47-B48</f>
        <v/>
      </c>
      <c r="C49" s="42">
        <f>C44-C46-C47-C48</f>
        <v/>
      </c>
      <c r="D49" s="42">
        <f>D44-D46-D47-D48</f>
        <v/>
      </c>
      <c r="E49" s="42">
        <f>E44-E46-E47-E48</f>
        <v/>
      </c>
      <c r="F49" s="42">
        <f>F44-F46-F47-F48</f>
        <v/>
      </c>
      <c r="G49" s="42">
        <f>G44-G46-G47-G48</f>
        <v/>
      </c>
      <c r="H49" s="42">
        <f>H44-H46-H47-H48</f>
        <v/>
      </c>
      <c r="I49" s="42">
        <f>I44-I46-I47-I48</f>
        <v/>
      </c>
      <c r="J49" s="42">
        <f>J44-J46-J47-J48</f>
        <v/>
      </c>
      <c r="K49" s="42">
        <f>K44-K46-K47-K48</f>
        <v/>
      </c>
      <c r="L49" s="42">
        <f>L44-L46-L47-L48</f>
        <v/>
      </c>
      <c r="M49" s="42">
        <f>M44-M46-M47-M48</f>
        <v/>
      </c>
      <c r="N49" s="42">
        <f>SUM(B49:M49)</f>
        <v/>
      </c>
    </row>
    <row r="50">
      <c r="A50" s="10" t="inlineStr">
        <is>
          <t>EBITDA Margin</t>
        </is>
      </c>
      <c r="B50" s="43">
        <f>IFERROR(B49/B42,0)</f>
        <v/>
      </c>
      <c r="C50" s="43">
        <f>IFERROR(C49/C42,0)</f>
        <v/>
      </c>
      <c r="D50" s="43">
        <f>IFERROR(D49/D42,0)</f>
        <v/>
      </c>
      <c r="E50" s="43">
        <f>IFERROR(E49/E42,0)</f>
        <v/>
      </c>
      <c r="F50" s="43">
        <f>IFERROR(F49/F42,0)</f>
        <v/>
      </c>
      <c r="G50" s="43">
        <f>IFERROR(G49/G42,0)</f>
        <v/>
      </c>
      <c r="H50" s="43">
        <f>IFERROR(H49/H42,0)</f>
        <v/>
      </c>
      <c r="I50" s="43">
        <f>IFERROR(I49/I42,0)</f>
        <v/>
      </c>
      <c r="J50" s="43">
        <f>IFERROR(J49/J42,0)</f>
        <v/>
      </c>
      <c r="K50" s="43">
        <f>IFERROR(K49/K42,0)</f>
        <v/>
      </c>
      <c r="L50" s="43">
        <f>IFERROR(L49/L42,0)</f>
        <v/>
      </c>
      <c r="M50" s="43">
        <f>IFERROR(M49/M42,0)</f>
        <v/>
      </c>
      <c r="N50" s="43">
        <f>IFERROR(N49/N42,0)</f>
        <v/>
      </c>
    </row>
    <row r="54">
      <c r="A54" s="8" t="inlineStr">
        <is>
          <t>Variance: Actual minus Annual Plan</t>
        </is>
      </c>
    </row>
    <row r="55">
      <c r="A55" s="10" t="inlineStr">
        <is>
          <t>Revenue Variance</t>
        </is>
      </c>
      <c r="B55" s="42">
        <f>B6-B18</f>
        <v/>
      </c>
      <c r="C55" s="42">
        <f>C6-C18</f>
        <v/>
      </c>
      <c r="D55" s="42">
        <f>D6-D18</f>
        <v/>
      </c>
      <c r="E55" s="42">
        <f>E6-E18</f>
        <v/>
      </c>
      <c r="F55" s="42">
        <f>F6-F18</f>
        <v/>
      </c>
      <c r="G55" s="42">
        <f>G6-G18</f>
        <v/>
      </c>
      <c r="H55" s="42">
        <f>H6-H18</f>
        <v/>
      </c>
      <c r="I55" s="42">
        <f>I6-I18</f>
        <v/>
      </c>
      <c r="J55" s="42">
        <f>J6-J18</f>
        <v/>
      </c>
      <c r="K55" s="42">
        <f>K6-K18</f>
        <v/>
      </c>
      <c r="L55" s="42">
        <f>L6-L18</f>
        <v/>
      </c>
      <c r="M55" s="42">
        <f>M6-M18</f>
        <v/>
      </c>
      <c r="N55" s="42">
        <f>SUM(B55:M55)</f>
        <v/>
      </c>
    </row>
    <row r="56">
      <c r="A56" s="10" t="inlineStr">
        <is>
          <t>EBITDA Variance</t>
        </is>
      </c>
      <c r="B56" s="42">
        <f>B13-B25</f>
        <v/>
      </c>
      <c r="C56" s="42">
        <f>C13-C25</f>
        <v/>
      </c>
      <c r="D56" s="42">
        <f>D13-D25</f>
        <v/>
      </c>
      <c r="E56" s="42">
        <f>E13-E25</f>
        <v/>
      </c>
      <c r="F56" s="42">
        <f>F13-F25</f>
        <v/>
      </c>
      <c r="G56" s="42">
        <f>G13-G25</f>
        <v/>
      </c>
      <c r="H56" s="42">
        <f>H13-H25</f>
        <v/>
      </c>
      <c r="I56" s="42">
        <f>I13-I25</f>
        <v/>
      </c>
      <c r="J56" s="42">
        <f>J13-J25</f>
        <v/>
      </c>
      <c r="K56" s="42">
        <f>K13-K25</f>
        <v/>
      </c>
      <c r="L56" s="42">
        <f>L13-L25</f>
        <v/>
      </c>
      <c r="M56" s="42">
        <f>M13-M25</f>
        <v/>
      </c>
      <c r="N56" s="42">
        <f>SUM(B56:M56)</f>
        <v/>
      </c>
    </row>
    <row r="57">
      <c r="A57" s="10" t="inlineStr">
        <is>
          <t>Gross Margin Variance</t>
        </is>
      </c>
      <c r="B57" s="43">
        <f>B9-B21</f>
        <v/>
      </c>
      <c r="C57" s="43">
        <f>C9-C21</f>
        <v/>
      </c>
      <c r="D57" s="43">
        <f>D9-D21</f>
        <v/>
      </c>
      <c r="E57" s="43">
        <f>E9-E21</f>
        <v/>
      </c>
      <c r="F57" s="43">
        <f>F9-F21</f>
        <v/>
      </c>
      <c r="G57" s="43">
        <f>G9-G21</f>
        <v/>
      </c>
      <c r="H57" s="43">
        <f>H9-H21</f>
        <v/>
      </c>
      <c r="I57" s="43">
        <f>I9-I21</f>
        <v/>
      </c>
      <c r="J57" s="43">
        <f>J9-J21</f>
        <v/>
      </c>
      <c r="K57" s="43">
        <f>K9-K21</f>
        <v/>
      </c>
      <c r="L57" s="43">
        <f>L9-L21</f>
        <v/>
      </c>
      <c r="M57" s="43">
        <f>M9-M21</f>
        <v/>
      </c>
      <c r="N57" s="43">
        <f>N9-N21</f>
        <v/>
      </c>
    </row>
    <row r="58">
      <c r="A58" s="10" t="inlineStr">
        <is>
          <t>EBITDA Margin Variance</t>
        </is>
      </c>
      <c r="B58" s="43">
        <f>B14-B26</f>
        <v/>
      </c>
      <c r="C58" s="43">
        <f>C14-C26</f>
        <v/>
      </c>
      <c r="D58" s="43">
        <f>D14-D26</f>
        <v/>
      </c>
      <c r="E58" s="43">
        <f>E14-E26</f>
        <v/>
      </c>
      <c r="F58" s="43">
        <f>F14-F26</f>
        <v/>
      </c>
      <c r="G58" s="43">
        <f>G14-G26</f>
        <v/>
      </c>
      <c r="H58" s="43">
        <f>H14-H26</f>
        <v/>
      </c>
      <c r="I58" s="43">
        <f>I14-I26</f>
        <v/>
      </c>
      <c r="J58" s="43">
        <f>J14-J26</f>
        <v/>
      </c>
      <c r="K58" s="43">
        <f>K14-K26</f>
        <v/>
      </c>
      <c r="L58" s="43">
        <f>L14-L26</f>
        <v/>
      </c>
      <c r="M58" s="43">
        <f>M14-M26</f>
        <v/>
      </c>
      <c r="N58" s="43">
        <f>N14-N26</f>
        <v/>
      </c>
    </row>
  </sheetData>
  <mergeCells count="7">
    <mergeCell ref="A17:N17"/>
    <mergeCell ref="A2:N2"/>
    <mergeCell ref="A54:N54"/>
    <mergeCell ref="A29:N29"/>
    <mergeCell ref="A41:N41"/>
    <mergeCell ref="A5:N5"/>
    <mergeCell ref="A1:N1"/>
  </mergeCells>
  <conditionalFormatting sqref="B55:N58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N25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1" t="inlineStr">
        <is>
          <t>Balance Sheet | Working Capital &amp; Liquidity</t>
        </is>
      </c>
    </row>
    <row r="2" ht="29" customHeight="1">
      <c r="A2" s="2" t="inlineStr">
        <is>
          <t>IDR juta | cash is linked to Cash Flow; equity plugs to maintain balance in dummy data</t>
        </is>
      </c>
    </row>
    <row r="4" ht="30" customHeight="1">
      <c r="A4" s="9" t="inlineStr">
        <is>
          <t>Metric</t>
        </is>
      </c>
      <c r="B4" s="9" t="inlineStr">
        <is>
          <t>Jan 2026</t>
        </is>
      </c>
      <c r="C4" s="9" t="inlineStr">
        <is>
          <t>Feb 2026</t>
        </is>
      </c>
      <c r="D4" s="9" t="inlineStr">
        <is>
          <t>Mar 2026</t>
        </is>
      </c>
      <c r="E4" s="9" t="inlineStr">
        <is>
          <t>Apr 2026</t>
        </is>
      </c>
      <c r="F4" s="9" t="inlineStr">
        <is>
          <t>May 2026</t>
        </is>
      </c>
      <c r="G4" s="9" t="inlineStr">
        <is>
          <t>Jun 2026</t>
        </is>
      </c>
      <c r="H4" s="9" t="inlineStr">
        <is>
          <t>Jul 2026</t>
        </is>
      </c>
      <c r="I4" s="9" t="inlineStr">
        <is>
          <t>Aug 2026</t>
        </is>
      </c>
      <c r="J4" s="9" t="inlineStr">
        <is>
          <t>Sep 2026</t>
        </is>
      </c>
      <c r="K4" s="9" t="inlineStr">
        <is>
          <t>Oct 2026</t>
        </is>
      </c>
      <c r="L4" s="9" t="inlineStr">
        <is>
          <t>Nov 2026</t>
        </is>
      </c>
      <c r="M4" s="9" t="inlineStr">
        <is>
          <t>Dec 2026</t>
        </is>
      </c>
      <c r="N4" s="9" t="inlineStr">
        <is>
          <t>FY 2026</t>
        </is>
      </c>
    </row>
    <row r="5">
      <c r="A5" s="8" t="inlineStr">
        <is>
          <t>Assets</t>
        </is>
      </c>
    </row>
    <row r="6">
      <c r="A6" s="10" t="inlineStr">
        <is>
          <t>Cash</t>
        </is>
      </c>
      <c r="B6" s="42">
        <f>'04_Cash_Flow'!B11</f>
        <v/>
      </c>
      <c r="C6" s="42">
        <f>'04_Cash_Flow'!C11</f>
        <v/>
      </c>
      <c r="D6" s="42">
        <f>'04_Cash_Flow'!D11</f>
        <v/>
      </c>
      <c r="E6" s="42">
        <f>'04_Cash_Flow'!E11</f>
        <v/>
      </c>
      <c r="F6" s="42">
        <f>'04_Cash_Flow'!F11</f>
        <v/>
      </c>
      <c r="G6" s="42">
        <f>'04_Cash_Flow'!G11</f>
        <v/>
      </c>
      <c r="H6" s="42">
        <f>'04_Cash_Flow'!H11</f>
        <v/>
      </c>
      <c r="I6" s="42">
        <f>'04_Cash_Flow'!I11</f>
        <v/>
      </c>
      <c r="J6" s="42">
        <f>'04_Cash_Flow'!J11</f>
        <v/>
      </c>
      <c r="K6" s="42">
        <f>'04_Cash_Flow'!K11</f>
        <v/>
      </c>
      <c r="L6" s="42">
        <f>'04_Cash_Flow'!L11</f>
        <v/>
      </c>
      <c r="M6" s="42">
        <f>'04_Cash_Flow'!M11</f>
        <v/>
      </c>
      <c r="N6" s="42">
        <f>M6</f>
        <v/>
      </c>
    </row>
    <row r="7">
      <c r="A7" s="10" t="inlineStr">
        <is>
          <t>Account Receivable</t>
        </is>
      </c>
      <c r="B7" s="42">
        <f>'02_P&amp;L'!B6*0.34</f>
        <v/>
      </c>
      <c r="C7" s="42">
        <f>'02_P&amp;L'!C6*0.35000000000000003</f>
        <v/>
      </c>
      <c r="D7" s="42">
        <f>'02_P&amp;L'!D6*0.36000000000000004</f>
        <v/>
      </c>
      <c r="E7" s="42">
        <f>'02_P&amp;L'!E6*0.34</f>
        <v/>
      </c>
      <c r="F7" s="42">
        <f>'02_P&amp;L'!F6*0.35000000000000003</f>
        <v/>
      </c>
      <c r="G7" s="42">
        <f>'02_P&amp;L'!G6*0.36000000000000004</f>
        <v/>
      </c>
      <c r="H7" s="42">
        <f>'02_P&amp;L'!H6*0.34</f>
        <v/>
      </c>
      <c r="I7" s="42">
        <f>'02_P&amp;L'!I6*0.35000000000000003</f>
        <v/>
      </c>
      <c r="J7" s="42">
        <f>'02_P&amp;L'!J6*0.36000000000000004</f>
        <v/>
      </c>
      <c r="K7" s="42">
        <f>'02_P&amp;L'!K6*0.34</f>
        <v/>
      </c>
      <c r="L7" s="42">
        <f>'02_P&amp;L'!L6*0.35000000000000003</f>
        <v/>
      </c>
      <c r="M7" s="42">
        <f>'02_P&amp;L'!M6*0.36000000000000004</f>
        <v/>
      </c>
      <c r="N7" s="42">
        <f>M7</f>
        <v/>
      </c>
    </row>
    <row r="8">
      <c r="A8" s="10" t="inlineStr">
        <is>
          <t>Inventory</t>
        </is>
      </c>
      <c r="B8" s="42">
        <f>'02_P&amp;L'!B7*0.13</f>
        <v/>
      </c>
      <c r="C8" s="42">
        <f>'02_P&amp;L'!C7*0.136</f>
        <v/>
      </c>
      <c r="D8" s="42">
        <f>'02_P&amp;L'!D7*0.14200000000000002</f>
        <v/>
      </c>
      <c r="E8" s="42">
        <f>'02_P&amp;L'!E7*0.14800000000000002</f>
        <v/>
      </c>
      <c r="F8" s="42">
        <f>'02_P&amp;L'!F7*0.13</f>
        <v/>
      </c>
      <c r="G8" s="42">
        <f>'02_P&amp;L'!G7*0.136</f>
        <v/>
      </c>
      <c r="H8" s="42">
        <f>'02_P&amp;L'!H7*0.14200000000000002</f>
        <v/>
      </c>
      <c r="I8" s="42">
        <f>'02_P&amp;L'!I7*0.14800000000000002</f>
        <v/>
      </c>
      <c r="J8" s="42">
        <f>'02_P&amp;L'!J7*0.13</f>
        <v/>
      </c>
      <c r="K8" s="42">
        <f>'02_P&amp;L'!K7*0.136</f>
        <v/>
      </c>
      <c r="L8" s="42">
        <f>'02_P&amp;L'!L7*0.14200000000000002</f>
        <v/>
      </c>
      <c r="M8" s="42">
        <f>'02_P&amp;L'!M7*0.14800000000000002</f>
        <v/>
      </c>
      <c r="N8" s="42">
        <f>M8</f>
        <v/>
      </c>
    </row>
    <row r="9">
      <c r="A9" s="10" t="inlineStr">
        <is>
          <t>Other Current Assets</t>
        </is>
      </c>
      <c r="B9" s="42">
        <f>'02_P&amp;L'!B6*0.045</f>
        <v/>
      </c>
      <c r="C9" s="42">
        <f>'02_P&amp;L'!C6*0.045</f>
        <v/>
      </c>
      <c r="D9" s="42">
        <f>'02_P&amp;L'!D6*0.045</f>
        <v/>
      </c>
      <c r="E9" s="42">
        <f>'02_P&amp;L'!E6*0.045</f>
        <v/>
      </c>
      <c r="F9" s="42">
        <f>'02_P&amp;L'!F6*0.045</f>
        <v/>
      </c>
      <c r="G9" s="42">
        <f>'02_P&amp;L'!G6*0.045</f>
        <v/>
      </c>
      <c r="H9" s="42">
        <f>'02_P&amp;L'!H6*0.045</f>
        <v/>
      </c>
      <c r="I9" s="42">
        <f>'02_P&amp;L'!I6*0.045</f>
        <v/>
      </c>
      <c r="J9" s="42">
        <f>'02_P&amp;L'!J6*0.045</f>
        <v/>
      </c>
      <c r="K9" s="42">
        <f>'02_P&amp;L'!K6*0.045</f>
        <v/>
      </c>
      <c r="L9" s="42">
        <f>'02_P&amp;L'!L6*0.045</f>
        <v/>
      </c>
      <c r="M9" s="42">
        <f>'02_P&amp;L'!M6*0.045</f>
        <v/>
      </c>
      <c r="N9" s="42">
        <f>M9</f>
        <v/>
      </c>
    </row>
    <row r="10">
      <c r="A10" s="10" t="inlineStr">
        <is>
          <t>Total Current Assets</t>
        </is>
      </c>
      <c r="B10" s="42">
        <f>SUM(B6:B9)</f>
        <v/>
      </c>
      <c r="C10" s="42">
        <f>SUM(C6:C9)</f>
        <v/>
      </c>
      <c r="D10" s="42">
        <f>SUM(D6:D9)</f>
        <v/>
      </c>
      <c r="E10" s="42">
        <f>SUM(E6:E9)</f>
        <v/>
      </c>
      <c r="F10" s="42">
        <f>SUM(F6:F9)</f>
        <v/>
      </c>
      <c r="G10" s="42">
        <f>SUM(G6:G9)</f>
        <v/>
      </c>
      <c r="H10" s="42">
        <f>SUM(H6:H9)</f>
        <v/>
      </c>
      <c r="I10" s="42">
        <f>SUM(I6:I9)</f>
        <v/>
      </c>
      <c r="J10" s="42">
        <f>SUM(J6:J9)</f>
        <v/>
      </c>
      <c r="K10" s="42">
        <f>SUM(K6:K9)</f>
        <v/>
      </c>
      <c r="L10" s="42">
        <f>SUM(L6:L9)</f>
        <v/>
      </c>
      <c r="M10" s="42">
        <f>SUM(M6:M9)</f>
        <v/>
      </c>
      <c r="N10" s="42">
        <f>M10</f>
        <v/>
      </c>
    </row>
    <row r="11">
      <c r="A11" s="10" t="inlineStr">
        <is>
          <t>Fixed Assets</t>
        </is>
      </c>
      <c r="B11" s="44" t="n">
        <v>11000</v>
      </c>
      <c r="C11" s="44" t="n">
        <v>11255</v>
      </c>
      <c r="D11" s="44" t="n">
        <v>11510</v>
      </c>
      <c r="E11" s="44" t="n">
        <v>11525</v>
      </c>
      <c r="F11" s="44" t="n">
        <v>11780</v>
      </c>
      <c r="G11" s="44" t="n">
        <v>12035</v>
      </c>
      <c r="H11" s="44" t="n">
        <v>12050</v>
      </c>
      <c r="I11" s="44" t="n">
        <v>12305</v>
      </c>
      <c r="J11" s="44" t="n">
        <v>12560</v>
      </c>
      <c r="K11" s="44" t="n">
        <v>12575</v>
      </c>
      <c r="L11" s="44" t="n">
        <v>12830</v>
      </c>
      <c r="M11" s="44" t="n">
        <v>13085</v>
      </c>
      <c r="N11" s="42">
        <f>M11</f>
        <v/>
      </c>
    </row>
    <row r="12">
      <c r="A12" s="10" t="inlineStr">
        <is>
          <t>Total Assets</t>
        </is>
      </c>
      <c r="B12" s="42">
        <f>B10+B11</f>
        <v/>
      </c>
      <c r="C12" s="42">
        <f>C10+C11</f>
        <v/>
      </c>
      <c r="D12" s="42">
        <f>D10+D11</f>
        <v/>
      </c>
      <c r="E12" s="42">
        <f>E10+E11</f>
        <v/>
      </c>
      <c r="F12" s="42">
        <f>F10+F11</f>
        <v/>
      </c>
      <c r="G12" s="42">
        <f>G10+G11</f>
        <v/>
      </c>
      <c r="H12" s="42">
        <f>H10+H11</f>
        <v/>
      </c>
      <c r="I12" s="42">
        <f>I10+I11</f>
        <v/>
      </c>
      <c r="J12" s="42">
        <f>J10+J11</f>
        <v/>
      </c>
      <c r="K12" s="42">
        <f>K10+K11</f>
        <v/>
      </c>
      <c r="L12" s="42">
        <f>L10+L11</f>
        <v/>
      </c>
      <c r="M12" s="42">
        <f>M10+M11</f>
        <v/>
      </c>
      <c r="N12" s="42">
        <f>M12</f>
        <v/>
      </c>
    </row>
    <row r="14">
      <c r="A14" s="23" t="inlineStr">
        <is>
          <t>Liabilities &amp; Equity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5" t="n"/>
    </row>
    <row r="15">
      <c r="A15" s="10" t="inlineStr">
        <is>
          <t>Debt</t>
        </is>
      </c>
      <c r="B15" s="42">
        <f>'02_P&amp;L'!B7*0.135</f>
        <v/>
      </c>
      <c r="C15" s="42">
        <f>'02_P&amp;L'!C7*0.14</f>
        <v/>
      </c>
      <c r="D15" s="42">
        <f>'02_P&amp;L'!D7*0.14500000000000002</f>
        <v/>
      </c>
      <c r="E15" s="42">
        <f>'02_P&amp;L'!E7*0.135</f>
        <v/>
      </c>
      <c r="F15" s="42">
        <f>'02_P&amp;L'!F7*0.14</f>
        <v/>
      </c>
      <c r="G15" s="42">
        <f>'02_P&amp;L'!G7*0.14500000000000002</f>
        <v/>
      </c>
      <c r="H15" s="42">
        <f>'02_P&amp;L'!H7*0.135</f>
        <v/>
      </c>
      <c r="I15" s="42">
        <f>'02_P&amp;L'!I7*0.14</f>
        <v/>
      </c>
      <c r="J15" s="42">
        <f>'02_P&amp;L'!J7*0.14500000000000002</f>
        <v/>
      </c>
      <c r="K15" s="42">
        <f>'02_P&amp;L'!K7*0.135</f>
        <v/>
      </c>
      <c r="L15" s="42">
        <f>'02_P&amp;L'!L7*0.14</f>
        <v/>
      </c>
      <c r="M15" s="42">
        <f>'02_P&amp;L'!M7*0.14500000000000002</f>
        <v/>
      </c>
      <c r="N15" s="42">
        <f>M15</f>
        <v/>
      </c>
    </row>
    <row r="16">
      <c r="A16" s="10" t="inlineStr">
        <is>
          <t>Total Liabilities</t>
        </is>
      </c>
      <c r="B16" s="44" t="n">
        <v>8200</v>
      </c>
      <c r="C16" s="44" t="n">
        <v>8450</v>
      </c>
      <c r="D16" s="44" t="n">
        <v>8700</v>
      </c>
      <c r="E16" s="44" t="n">
        <v>8950</v>
      </c>
      <c r="F16" s="44" t="n">
        <v>8200</v>
      </c>
      <c r="G16" s="44" t="n">
        <v>8450</v>
      </c>
      <c r="H16" s="44" t="n">
        <v>8700</v>
      </c>
      <c r="I16" s="44" t="n">
        <v>8950</v>
      </c>
      <c r="J16" s="44" t="n">
        <v>8200</v>
      </c>
      <c r="K16" s="44" t="n">
        <v>8450</v>
      </c>
      <c r="L16" s="44" t="n">
        <v>8700</v>
      </c>
      <c r="M16" s="44" t="n">
        <v>8950</v>
      </c>
      <c r="N16" s="42">
        <f>M16</f>
        <v/>
      </c>
    </row>
    <row r="17">
      <c r="A17" s="10" t="inlineStr">
        <is>
          <t>Equity</t>
        </is>
      </c>
      <c r="B17" s="42">
        <f>SUM(B15:B16)</f>
        <v/>
      </c>
      <c r="C17" s="42">
        <f>SUM(C15:C16)</f>
        <v/>
      </c>
      <c r="D17" s="42">
        <f>SUM(D15:D16)</f>
        <v/>
      </c>
      <c r="E17" s="42">
        <f>SUM(E15:E16)</f>
        <v/>
      </c>
      <c r="F17" s="42">
        <f>SUM(F15:F16)</f>
        <v/>
      </c>
      <c r="G17" s="42">
        <f>SUM(G15:G16)</f>
        <v/>
      </c>
      <c r="H17" s="42">
        <f>SUM(H15:H16)</f>
        <v/>
      </c>
      <c r="I17" s="42">
        <f>SUM(I15:I16)</f>
        <v/>
      </c>
      <c r="J17" s="42">
        <f>SUM(J15:J16)</f>
        <v/>
      </c>
      <c r="K17" s="42">
        <f>SUM(K15:K16)</f>
        <v/>
      </c>
      <c r="L17" s="42">
        <f>SUM(L15:L16)</f>
        <v/>
      </c>
      <c r="M17" s="42">
        <f>SUM(M15:M16)</f>
        <v/>
      </c>
      <c r="N17" s="42">
        <f>M17</f>
        <v/>
      </c>
    </row>
    <row r="18">
      <c r="A18" s="10" t="inlineStr">
        <is>
          <t>Total Liabilities &amp; Equity</t>
        </is>
      </c>
      <c r="B18" s="42">
        <f>B12-B17</f>
        <v/>
      </c>
      <c r="C18" s="42">
        <f>C12-C17</f>
        <v/>
      </c>
      <c r="D18" s="42">
        <f>D12-D17</f>
        <v/>
      </c>
      <c r="E18" s="42">
        <f>E12-E17</f>
        <v/>
      </c>
      <c r="F18" s="42">
        <f>F12-F17</f>
        <v/>
      </c>
      <c r="G18" s="42">
        <f>G12-G17</f>
        <v/>
      </c>
      <c r="H18" s="42">
        <f>H12-H17</f>
        <v/>
      </c>
      <c r="I18" s="42">
        <f>I12-I17</f>
        <v/>
      </c>
      <c r="J18" s="42">
        <f>J12-J17</f>
        <v/>
      </c>
      <c r="K18" s="42">
        <f>K12-K17</f>
        <v/>
      </c>
      <c r="L18" s="42">
        <f>L12-L17</f>
        <v/>
      </c>
      <c r="M18" s="42">
        <f>M12-M17</f>
        <v/>
      </c>
      <c r="N18" s="42">
        <f>M18</f>
        <v/>
      </c>
    </row>
    <row r="19">
      <c r="B19" s="42">
        <f>SUM(B17:B18)</f>
        <v/>
      </c>
      <c r="C19" s="42">
        <f>SUM(C17:C18)</f>
        <v/>
      </c>
      <c r="D19" s="42">
        <f>SUM(D17:D18)</f>
        <v/>
      </c>
      <c r="E19" s="42">
        <f>SUM(E17:E18)</f>
        <v/>
      </c>
      <c r="F19" s="42">
        <f>SUM(F17:F18)</f>
        <v/>
      </c>
      <c r="G19" s="42">
        <f>SUM(G17:G18)</f>
        <v/>
      </c>
      <c r="H19" s="42">
        <f>SUM(H17:H18)</f>
        <v/>
      </c>
      <c r="I19" s="42">
        <f>SUM(I17:I18)</f>
        <v/>
      </c>
      <c r="J19" s="42">
        <f>SUM(J17:J18)</f>
        <v/>
      </c>
      <c r="K19" s="42">
        <f>SUM(K17:K18)</f>
        <v/>
      </c>
      <c r="L19" s="42">
        <f>SUM(L17:L18)</f>
        <v/>
      </c>
      <c r="M19" s="42">
        <f>SUM(M17:M18)</f>
        <v/>
      </c>
      <c r="N19" s="42">
        <f>M19</f>
        <v/>
      </c>
    </row>
    <row r="20">
      <c r="A20" s="10" t="inlineStr">
        <is>
          <t>Net Working Capital</t>
        </is>
      </c>
    </row>
    <row r="21">
      <c r="A21" s="10" t="inlineStr">
        <is>
          <t>DSO (days)</t>
        </is>
      </c>
      <c r="B21" s="42">
        <f>B7+B8-B15</f>
        <v/>
      </c>
      <c r="C21" s="42">
        <f>C7+C8-C15</f>
        <v/>
      </c>
      <c r="D21" s="42">
        <f>D7+D8-D15</f>
        <v/>
      </c>
      <c r="E21" s="42">
        <f>E7+E8-E15</f>
        <v/>
      </c>
      <c r="F21" s="42">
        <f>F7+F8-F15</f>
        <v/>
      </c>
      <c r="G21" s="42">
        <f>G7+G8-G15</f>
        <v/>
      </c>
      <c r="H21" s="42">
        <f>H7+H8-H15</f>
        <v/>
      </c>
      <c r="I21" s="42">
        <f>I7+I8-I15</f>
        <v/>
      </c>
      <c r="J21" s="42">
        <f>J7+J8-J15</f>
        <v/>
      </c>
      <c r="K21" s="42">
        <f>K7+K8-K15</f>
        <v/>
      </c>
      <c r="L21" s="42">
        <f>L7+L8-L15</f>
        <v/>
      </c>
      <c r="M21" s="42">
        <f>M7+M8-M15</f>
        <v/>
      </c>
      <c r="N21" s="42">
        <f>M21</f>
        <v/>
      </c>
    </row>
    <row r="22">
      <c r="A22" s="10" t="inlineStr">
        <is>
          <t>DIO (days)</t>
        </is>
      </c>
      <c r="B22" s="45">
        <f>IFERROR(B7/'02_P&amp;L'!B6*365,0)</f>
        <v/>
      </c>
      <c r="C22" s="45">
        <f>IFERROR(C7/'02_P&amp;L'!C6*365,0)</f>
        <v/>
      </c>
      <c r="D22" s="45">
        <f>IFERROR(D7/'02_P&amp;L'!D6*365,0)</f>
        <v/>
      </c>
      <c r="E22" s="45">
        <f>IFERROR(E7/'02_P&amp;L'!E6*365,0)</f>
        <v/>
      </c>
      <c r="F22" s="45">
        <f>IFERROR(F7/'02_P&amp;L'!F6*365,0)</f>
        <v/>
      </c>
      <c r="G22" s="45">
        <f>IFERROR(G7/'02_P&amp;L'!G6*365,0)</f>
        <v/>
      </c>
      <c r="H22" s="45">
        <f>IFERROR(H7/'02_P&amp;L'!H6*365,0)</f>
        <v/>
      </c>
      <c r="I22" s="45">
        <f>IFERROR(I7/'02_P&amp;L'!I6*365,0)</f>
        <v/>
      </c>
      <c r="J22" s="45">
        <f>IFERROR(J7/'02_P&amp;L'!J6*365,0)</f>
        <v/>
      </c>
      <c r="K22" s="45">
        <f>IFERROR(K7/'02_P&amp;L'!K6*365,0)</f>
        <v/>
      </c>
      <c r="L22" s="45">
        <f>IFERROR(L7/'02_P&amp;L'!L6*365,0)</f>
        <v/>
      </c>
      <c r="M22" s="45">
        <f>IFERROR(M7/'02_P&amp;L'!M6*365,0)</f>
        <v/>
      </c>
      <c r="N22" s="45">
        <f>IFERROR(N7/'02_P&amp;L'!N6*365,0)</f>
        <v/>
      </c>
    </row>
    <row r="23">
      <c r="A23" s="10" t="inlineStr">
        <is>
          <t>DPO (days)</t>
        </is>
      </c>
      <c r="B23" s="45">
        <f>IFERROR(B8/'02_P&amp;L'!B7*365,0)</f>
        <v/>
      </c>
      <c r="C23" s="45">
        <f>IFERROR(C8/'02_P&amp;L'!C7*365,0)</f>
        <v/>
      </c>
      <c r="D23" s="45">
        <f>IFERROR(D8/'02_P&amp;L'!D7*365,0)</f>
        <v/>
      </c>
      <c r="E23" s="45">
        <f>IFERROR(E8/'02_P&amp;L'!E7*365,0)</f>
        <v/>
      </c>
      <c r="F23" s="45">
        <f>IFERROR(F8/'02_P&amp;L'!F7*365,0)</f>
        <v/>
      </c>
      <c r="G23" s="45">
        <f>IFERROR(G8/'02_P&amp;L'!G7*365,0)</f>
        <v/>
      </c>
      <c r="H23" s="45">
        <f>IFERROR(H8/'02_P&amp;L'!H7*365,0)</f>
        <v/>
      </c>
      <c r="I23" s="45">
        <f>IFERROR(I8/'02_P&amp;L'!I7*365,0)</f>
        <v/>
      </c>
      <c r="J23" s="45">
        <f>IFERROR(J8/'02_P&amp;L'!J7*365,0)</f>
        <v/>
      </c>
      <c r="K23" s="45">
        <f>IFERROR(K8/'02_P&amp;L'!K7*365,0)</f>
        <v/>
      </c>
      <c r="L23" s="45">
        <f>IFERROR(L8/'02_P&amp;L'!L7*365,0)</f>
        <v/>
      </c>
      <c r="M23" s="45">
        <f>IFERROR(M8/'02_P&amp;L'!M7*365,0)</f>
        <v/>
      </c>
      <c r="N23" s="45">
        <f>IFERROR(N8/'02_P&amp;L'!N7*365,0)</f>
        <v/>
      </c>
    </row>
    <row r="24">
      <c r="B24" s="45">
        <f>IFERROR(B15/'02_P&amp;L'!B7*365,0)</f>
        <v/>
      </c>
      <c r="C24" s="45">
        <f>IFERROR(C15/'02_P&amp;L'!C7*365,0)</f>
        <v/>
      </c>
      <c r="D24" s="45">
        <f>IFERROR(D15/'02_P&amp;L'!D7*365,0)</f>
        <v/>
      </c>
      <c r="E24" s="45">
        <f>IFERROR(E15/'02_P&amp;L'!E7*365,0)</f>
        <v/>
      </c>
      <c r="F24" s="45">
        <f>IFERROR(F15/'02_P&amp;L'!F7*365,0)</f>
        <v/>
      </c>
      <c r="G24" s="45">
        <f>IFERROR(G15/'02_P&amp;L'!G7*365,0)</f>
        <v/>
      </c>
      <c r="H24" s="45">
        <f>IFERROR(H15/'02_P&amp;L'!H7*365,0)</f>
        <v/>
      </c>
      <c r="I24" s="45">
        <f>IFERROR(I15/'02_P&amp;L'!I7*365,0)</f>
        <v/>
      </c>
      <c r="J24" s="45">
        <f>IFERROR(J15/'02_P&amp;L'!J7*365,0)</f>
        <v/>
      </c>
      <c r="K24" s="45">
        <f>IFERROR(K15/'02_P&amp;L'!K7*365,0)</f>
        <v/>
      </c>
      <c r="L24" s="45">
        <f>IFERROR(L15/'02_P&amp;L'!L7*365,0)</f>
        <v/>
      </c>
      <c r="M24" s="45">
        <f>IFERROR(M15/'02_P&amp;L'!M7*365,0)</f>
        <v/>
      </c>
      <c r="N24" s="45">
        <f>IFERROR(N15/'02_P&amp;L'!N7*365,0)</f>
        <v/>
      </c>
    </row>
    <row r="25">
      <c r="A25" s="8" t="inlineStr">
        <is>
          <t>Working Capital Metrics</t>
        </is>
      </c>
    </row>
  </sheetData>
  <mergeCells count="5">
    <mergeCell ref="A2:N2"/>
    <mergeCell ref="A25:N25"/>
    <mergeCell ref="A5:N5"/>
    <mergeCell ref="A14:N14"/>
    <mergeCell ref="A1:N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N13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1" t="inlineStr">
        <is>
          <t>Cash Flow | Actual Cash Bridge</t>
        </is>
      </c>
    </row>
    <row r="2" ht="29" customHeight="1">
      <c r="A2" s="2" t="inlineStr">
        <is>
          <t>IDR juta | ending cash is formula-driven and feeds Balance Sheet and Dashboard</t>
        </is>
      </c>
    </row>
    <row r="4" ht="30" customHeight="1">
      <c r="A4" s="9" t="inlineStr">
        <is>
          <t>Metric</t>
        </is>
      </c>
      <c r="B4" s="9" t="inlineStr">
        <is>
          <t>Jan 2026</t>
        </is>
      </c>
      <c r="C4" s="9" t="inlineStr">
        <is>
          <t>Feb 2026</t>
        </is>
      </c>
      <c r="D4" s="9" t="inlineStr">
        <is>
          <t>Mar 2026</t>
        </is>
      </c>
      <c r="E4" s="9" t="inlineStr">
        <is>
          <t>Apr 2026</t>
        </is>
      </c>
      <c r="F4" s="9" t="inlineStr">
        <is>
          <t>May 2026</t>
        </is>
      </c>
      <c r="G4" s="9" t="inlineStr">
        <is>
          <t>Jun 2026</t>
        </is>
      </c>
      <c r="H4" s="9" t="inlineStr">
        <is>
          <t>Jul 2026</t>
        </is>
      </c>
      <c r="I4" s="9" t="inlineStr">
        <is>
          <t>Aug 2026</t>
        </is>
      </c>
      <c r="J4" s="9" t="inlineStr">
        <is>
          <t>Sep 2026</t>
        </is>
      </c>
      <c r="K4" s="9" t="inlineStr">
        <is>
          <t>Oct 2026</t>
        </is>
      </c>
      <c r="L4" s="9" t="inlineStr">
        <is>
          <t>Nov 2026</t>
        </is>
      </c>
      <c r="M4" s="9" t="inlineStr">
        <is>
          <t>Dec 2026</t>
        </is>
      </c>
      <c r="N4" s="9" t="inlineStr">
        <is>
          <t>FY 2026</t>
        </is>
      </c>
    </row>
    <row r="5">
      <c r="A5" s="8" t="inlineStr">
        <is>
          <t>Cash Flow</t>
        </is>
      </c>
    </row>
    <row r="6">
      <c r="A6" s="10" t="inlineStr">
        <is>
          <t>Beginning Cash</t>
        </is>
      </c>
      <c r="B6" s="44" t="n">
        <v>9000</v>
      </c>
      <c r="C6" s="42">
        <f>B11</f>
        <v/>
      </c>
      <c r="D6" s="42">
        <f>C11</f>
        <v/>
      </c>
      <c r="E6" s="42">
        <f>D11</f>
        <v/>
      </c>
      <c r="F6" s="42">
        <f>E11</f>
        <v/>
      </c>
      <c r="G6" s="42">
        <f>F11</f>
        <v/>
      </c>
      <c r="H6" s="42">
        <f>G11</f>
        <v/>
      </c>
      <c r="I6" s="42">
        <f>H11</f>
        <v/>
      </c>
      <c r="J6" s="42">
        <f>I11</f>
        <v/>
      </c>
      <c r="K6" s="42">
        <f>J11</f>
        <v/>
      </c>
      <c r="L6" s="42">
        <f>K11</f>
        <v/>
      </c>
      <c r="M6" s="42">
        <f>L11</f>
        <v/>
      </c>
      <c r="N6" s="42">
        <f>B6</f>
        <v/>
      </c>
    </row>
    <row r="7">
      <c r="A7" s="10" t="inlineStr">
        <is>
          <t>Cash Flow from Operations</t>
        </is>
      </c>
      <c r="B7" s="44" t="n">
        <v>2250</v>
      </c>
      <c r="C7" s="44" t="n">
        <v>2510</v>
      </c>
      <c r="D7" s="44" t="n">
        <v>2580</v>
      </c>
      <c r="E7" s="44" t="n">
        <v>2452</v>
      </c>
      <c r="F7" s="44" t="n">
        <v>2668</v>
      </c>
      <c r="G7" s="44" t="n">
        <v>2910</v>
      </c>
      <c r="H7" s="44" t="n">
        <v>2565</v>
      </c>
      <c r="I7" s="44" t="n">
        <v>2846</v>
      </c>
      <c r="J7" s="44" t="n">
        <v>3096</v>
      </c>
      <c r="K7" s="44" t="n">
        <v>2882</v>
      </c>
      <c r="L7" s="44" t="n">
        <v>3169</v>
      </c>
      <c r="M7" s="44" t="n">
        <v>3516</v>
      </c>
      <c r="N7" s="42">
        <f>SUM(B7:M7)</f>
        <v/>
      </c>
    </row>
    <row r="8">
      <c r="A8" s="10" t="inlineStr">
        <is>
          <t>Cash Flow from Investing</t>
        </is>
      </c>
      <c r="B8" s="44" t="n">
        <v>-420</v>
      </c>
      <c r="C8" s="44" t="n">
        <v>-473</v>
      </c>
      <c r="D8" s="44" t="n">
        <v>-526</v>
      </c>
      <c r="E8" s="44" t="n">
        <v>-579</v>
      </c>
      <c r="F8" s="44" t="n">
        <v>-492</v>
      </c>
      <c r="G8" s="44" t="n">
        <v>-545</v>
      </c>
      <c r="H8" s="44" t="n">
        <v>-598</v>
      </c>
      <c r="I8" s="44" t="n">
        <v>-651</v>
      </c>
      <c r="J8" s="44" t="n">
        <v>-564</v>
      </c>
      <c r="K8" s="44" t="n">
        <v>-617</v>
      </c>
      <c r="L8" s="44" t="n">
        <v>-670</v>
      </c>
      <c r="M8" s="44" t="n">
        <v>-723</v>
      </c>
      <c r="N8" s="42">
        <f>SUM(B8:M8)</f>
        <v/>
      </c>
    </row>
    <row r="9">
      <c r="A9" s="10" t="inlineStr">
        <is>
          <t>Cash Flow from Financing</t>
        </is>
      </c>
      <c r="B9" s="44" t="n">
        <v>0</v>
      </c>
      <c r="C9" s="44" t="n">
        <v>0</v>
      </c>
      <c r="D9" s="44" t="n">
        <v>-250</v>
      </c>
      <c r="E9" s="44" t="n">
        <v>0</v>
      </c>
      <c r="F9" s="44" t="n">
        <v>0</v>
      </c>
      <c r="G9" s="44" t="n">
        <v>-300</v>
      </c>
      <c r="H9" s="44" t="n">
        <v>0</v>
      </c>
      <c r="I9" s="44" t="n">
        <v>0</v>
      </c>
      <c r="J9" s="44" t="n">
        <v>-450</v>
      </c>
      <c r="K9" s="44" t="n">
        <v>0</v>
      </c>
      <c r="L9" s="44" t="n">
        <v>0</v>
      </c>
      <c r="M9" s="44" t="n">
        <v>-600</v>
      </c>
      <c r="N9" s="42">
        <f>SUM(B9:M9)</f>
        <v/>
      </c>
    </row>
    <row r="10">
      <c r="A10" s="10" t="inlineStr">
        <is>
          <t>Net Cash Change</t>
        </is>
      </c>
      <c r="B10" s="42">
        <f>SUM(B7:B9)</f>
        <v/>
      </c>
      <c r="C10" s="42">
        <f>SUM(C7:C9)</f>
        <v/>
      </c>
      <c r="D10" s="42">
        <f>SUM(D7:D9)</f>
        <v/>
      </c>
      <c r="E10" s="42">
        <f>SUM(E7:E9)</f>
        <v/>
      </c>
      <c r="F10" s="42">
        <f>SUM(F7:F9)</f>
        <v/>
      </c>
      <c r="G10" s="42">
        <f>SUM(G7:G9)</f>
        <v/>
      </c>
      <c r="H10" s="42">
        <f>SUM(H7:H9)</f>
        <v/>
      </c>
      <c r="I10" s="42">
        <f>SUM(I7:I9)</f>
        <v/>
      </c>
      <c r="J10" s="42">
        <f>SUM(J7:J9)</f>
        <v/>
      </c>
      <c r="K10" s="42">
        <f>SUM(K7:K9)</f>
        <v/>
      </c>
      <c r="L10" s="42">
        <f>SUM(L7:L9)</f>
        <v/>
      </c>
      <c r="M10" s="42">
        <f>SUM(M7:M9)</f>
        <v/>
      </c>
      <c r="N10" s="42">
        <f>SUM(B10:M10)</f>
        <v/>
      </c>
    </row>
    <row r="11">
      <c r="A11" s="10" t="inlineStr">
        <is>
          <t>Ending Cash</t>
        </is>
      </c>
      <c r="B11" s="42">
        <f>B6+B10</f>
        <v/>
      </c>
      <c r="C11" s="42">
        <f>C6+C10</f>
        <v/>
      </c>
      <c r="D11" s="42">
        <f>D6+D10</f>
        <v/>
      </c>
      <c r="E11" s="42">
        <f>E6+E10</f>
        <v/>
      </c>
      <c r="F11" s="42">
        <f>F6+F10</f>
        <v/>
      </c>
      <c r="G11" s="42">
        <f>G6+G10</f>
        <v/>
      </c>
      <c r="H11" s="42">
        <f>H6+H10</f>
        <v/>
      </c>
      <c r="I11" s="42">
        <f>I6+I10</f>
        <v/>
      </c>
      <c r="J11" s="42">
        <f>J6+J10</f>
        <v/>
      </c>
      <c r="K11" s="42">
        <f>K6+K10</f>
        <v/>
      </c>
      <c r="L11" s="42">
        <f>L6+L10</f>
        <v/>
      </c>
      <c r="M11" s="42">
        <f>M6+M10</f>
        <v/>
      </c>
      <c r="N11" s="42">
        <f>M11</f>
        <v/>
      </c>
    </row>
    <row r="12">
      <c r="A12" s="10" t="inlineStr">
        <is>
          <t>Plan Ending Cash</t>
        </is>
      </c>
      <c r="B12" s="44" t="n">
        <v>11047</v>
      </c>
      <c r="C12" s="44" t="n">
        <v>13202</v>
      </c>
      <c r="D12" s="44" t="n">
        <v>15140</v>
      </c>
      <c r="E12" s="44" t="n">
        <v>16875</v>
      </c>
      <c r="F12" s="44" t="n">
        <v>19207</v>
      </c>
      <c r="G12" s="44" t="n">
        <v>21450</v>
      </c>
      <c r="H12" s="44" t="n">
        <v>23207</v>
      </c>
      <c r="I12" s="44" t="n">
        <v>25596</v>
      </c>
      <c r="J12" s="44" t="n">
        <v>27894</v>
      </c>
      <c r="K12" s="44" t="n">
        <v>29880</v>
      </c>
      <c r="L12" s="44" t="n">
        <v>32620</v>
      </c>
      <c r="M12" s="44" t="n">
        <v>35074</v>
      </c>
      <c r="N12" s="42">
        <f>M12</f>
        <v/>
      </c>
    </row>
    <row r="13">
      <c r="A13" s="10" t="inlineStr">
        <is>
          <t>Variance vs Plan</t>
        </is>
      </c>
      <c r="B13" s="42">
        <f>B11-B12</f>
        <v/>
      </c>
      <c r="C13" s="42">
        <f>C11-C12</f>
        <v/>
      </c>
      <c r="D13" s="42">
        <f>D11-D12</f>
        <v/>
      </c>
      <c r="E13" s="42">
        <f>E11-E12</f>
        <v/>
      </c>
      <c r="F13" s="42">
        <f>F11-F12</f>
        <v/>
      </c>
      <c r="G13" s="42">
        <f>G11-G12</f>
        <v/>
      </c>
      <c r="H13" s="42">
        <f>H11-H12</f>
        <v/>
      </c>
      <c r="I13" s="42">
        <f>I11-I12</f>
        <v/>
      </c>
      <c r="J13" s="42">
        <f>J11-J12</f>
        <v/>
      </c>
      <c r="K13" s="42">
        <f>K11-K12</f>
        <v/>
      </c>
      <c r="L13" s="42">
        <f>L11-L12</f>
        <v/>
      </c>
      <c r="M13" s="42">
        <f>M11-M12</f>
        <v/>
      </c>
      <c r="N13" s="42">
        <f>M13</f>
        <v/>
      </c>
    </row>
  </sheetData>
  <mergeCells count="3">
    <mergeCell ref="A5:N5"/>
    <mergeCell ref="A2:N2"/>
    <mergeCell ref="A1:N1"/>
  </mergeCells>
  <conditionalFormatting sqref="B13:N13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/>
  </sheetPr>
  <dimension ref="A1:N32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1" t="inlineStr">
        <is>
          <t>Plan &amp; Forecast</t>
        </is>
      </c>
    </row>
    <row r="2" ht="29" customHeight="1">
      <c r="A2" s="2" t="inlineStr">
        <is>
          <t>Formula-linked scenario summary | IDR juta | edit source scenarios in 02_P&amp;L</t>
        </is>
      </c>
    </row>
    <row r="4" ht="30" customHeight="1">
      <c r="A4" s="9" t="inlineStr">
        <is>
          <t>Metric</t>
        </is>
      </c>
      <c r="B4" s="9" t="inlineStr">
        <is>
          <t>Jan 2026</t>
        </is>
      </c>
      <c r="C4" s="9" t="inlineStr">
        <is>
          <t>Feb 2026</t>
        </is>
      </c>
      <c r="D4" s="9" t="inlineStr">
        <is>
          <t>Mar 2026</t>
        </is>
      </c>
      <c r="E4" s="9" t="inlineStr">
        <is>
          <t>Apr 2026</t>
        </is>
      </c>
      <c r="F4" s="9" t="inlineStr">
        <is>
          <t>May 2026</t>
        </is>
      </c>
      <c r="G4" s="9" t="inlineStr">
        <is>
          <t>Jun 2026</t>
        </is>
      </c>
      <c r="H4" s="9" t="inlineStr">
        <is>
          <t>Jul 2026</t>
        </is>
      </c>
      <c r="I4" s="9" t="inlineStr">
        <is>
          <t>Aug 2026</t>
        </is>
      </c>
      <c r="J4" s="9" t="inlineStr">
        <is>
          <t>Sep 2026</t>
        </is>
      </c>
      <c r="K4" s="9" t="inlineStr">
        <is>
          <t>Oct 2026</t>
        </is>
      </c>
      <c r="L4" s="9" t="inlineStr">
        <is>
          <t>Nov 2026</t>
        </is>
      </c>
      <c r="M4" s="9" t="inlineStr">
        <is>
          <t>Dec 2026</t>
        </is>
      </c>
      <c r="N4" s="9" t="inlineStr">
        <is>
          <t>FY 2026</t>
        </is>
      </c>
    </row>
    <row r="5">
      <c r="A5" s="8" t="inlineStr">
        <is>
          <t>Annual Plan</t>
        </is>
      </c>
    </row>
    <row r="6">
      <c r="A6" s="10" t="inlineStr">
        <is>
          <t>Revenue</t>
        </is>
      </c>
      <c r="B6" s="42">
        <f>'02_P&amp;L'!B18</f>
        <v/>
      </c>
      <c r="C6" s="42">
        <f>'02_P&amp;L'!C18</f>
        <v/>
      </c>
      <c r="D6" s="42">
        <f>'02_P&amp;L'!D18</f>
        <v/>
      </c>
      <c r="E6" s="42">
        <f>'02_P&amp;L'!E18</f>
        <v/>
      </c>
      <c r="F6" s="42">
        <f>'02_P&amp;L'!F18</f>
        <v/>
      </c>
      <c r="G6" s="42">
        <f>'02_P&amp;L'!G18</f>
        <v/>
      </c>
      <c r="H6" s="42">
        <f>'02_P&amp;L'!H18</f>
        <v/>
      </c>
      <c r="I6" s="42">
        <f>'02_P&amp;L'!I18</f>
        <v/>
      </c>
      <c r="J6" s="42">
        <f>'02_P&amp;L'!J18</f>
        <v/>
      </c>
      <c r="K6" s="42">
        <f>'02_P&amp;L'!K18</f>
        <v/>
      </c>
      <c r="L6" s="42">
        <f>'02_P&amp;L'!L18</f>
        <v/>
      </c>
      <c r="M6" s="42">
        <f>'02_P&amp;L'!M18</f>
        <v/>
      </c>
      <c r="N6" s="42">
        <f>'02_P&amp;L'!N18</f>
        <v/>
      </c>
    </row>
    <row r="7">
      <c r="A7" s="10" t="inlineStr">
        <is>
          <t>Gross Margin</t>
        </is>
      </c>
      <c r="B7" s="43">
        <f>'02_P&amp;L'!B21</f>
        <v/>
      </c>
      <c r="C7" s="43">
        <f>'02_P&amp;L'!C21</f>
        <v/>
      </c>
      <c r="D7" s="43">
        <f>'02_P&amp;L'!D21</f>
        <v/>
      </c>
      <c r="E7" s="43">
        <f>'02_P&amp;L'!E21</f>
        <v/>
      </c>
      <c r="F7" s="43">
        <f>'02_P&amp;L'!F21</f>
        <v/>
      </c>
      <c r="G7" s="43">
        <f>'02_P&amp;L'!G21</f>
        <v/>
      </c>
      <c r="H7" s="43">
        <f>'02_P&amp;L'!H21</f>
        <v/>
      </c>
      <c r="I7" s="43">
        <f>'02_P&amp;L'!I21</f>
        <v/>
      </c>
      <c r="J7" s="43">
        <f>'02_P&amp;L'!J21</f>
        <v/>
      </c>
      <c r="K7" s="43">
        <f>'02_P&amp;L'!K21</f>
        <v/>
      </c>
      <c r="L7" s="43">
        <f>'02_P&amp;L'!L21</f>
        <v/>
      </c>
      <c r="M7" s="43">
        <f>'02_P&amp;L'!M21</f>
        <v/>
      </c>
      <c r="N7" s="43">
        <f>'02_P&amp;L'!N21</f>
        <v/>
      </c>
    </row>
    <row r="8">
      <c r="A8" s="10" t="inlineStr">
        <is>
          <t>EBITDA</t>
        </is>
      </c>
      <c r="B8" s="42">
        <f>'02_P&amp;L'!B25</f>
        <v/>
      </c>
      <c r="C8" s="42">
        <f>'02_P&amp;L'!C25</f>
        <v/>
      </c>
      <c r="D8" s="42">
        <f>'02_P&amp;L'!D25</f>
        <v/>
      </c>
      <c r="E8" s="42">
        <f>'02_P&amp;L'!E25</f>
        <v/>
      </c>
      <c r="F8" s="42">
        <f>'02_P&amp;L'!F25</f>
        <v/>
      </c>
      <c r="G8" s="42">
        <f>'02_P&amp;L'!G25</f>
        <v/>
      </c>
      <c r="H8" s="42">
        <f>'02_P&amp;L'!H25</f>
        <v/>
      </c>
      <c r="I8" s="42">
        <f>'02_P&amp;L'!I25</f>
        <v/>
      </c>
      <c r="J8" s="42">
        <f>'02_P&amp;L'!J25</f>
        <v/>
      </c>
      <c r="K8" s="42">
        <f>'02_P&amp;L'!K25</f>
        <v/>
      </c>
      <c r="L8" s="42">
        <f>'02_P&amp;L'!L25</f>
        <v/>
      </c>
      <c r="M8" s="42">
        <f>'02_P&amp;L'!M25</f>
        <v/>
      </c>
      <c r="N8" s="42">
        <f>'02_P&amp;L'!N25</f>
        <v/>
      </c>
    </row>
    <row r="9">
      <c r="A9" s="10" t="inlineStr">
        <is>
          <t>Cash</t>
        </is>
      </c>
      <c r="B9" s="42">
        <f>'04_Cash_Flow'!B12</f>
        <v/>
      </c>
      <c r="C9" s="42">
        <f>'04_Cash_Flow'!C12</f>
        <v/>
      </c>
      <c r="D9" s="42">
        <f>'04_Cash_Flow'!D12</f>
        <v/>
      </c>
      <c r="E9" s="42">
        <f>'04_Cash_Flow'!E12</f>
        <v/>
      </c>
      <c r="F9" s="42">
        <f>'04_Cash_Flow'!F12</f>
        <v/>
      </c>
      <c r="G9" s="42">
        <f>'04_Cash_Flow'!G12</f>
        <v/>
      </c>
      <c r="H9" s="42">
        <f>'04_Cash_Flow'!H12</f>
        <v/>
      </c>
      <c r="I9" s="42">
        <f>'04_Cash_Flow'!I12</f>
        <v/>
      </c>
      <c r="J9" s="42">
        <f>'04_Cash_Flow'!J12</f>
        <v/>
      </c>
      <c r="K9" s="42">
        <f>'04_Cash_Flow'!K12</f>
        <v/>
      </c>
      <c r="L9" s="42">
        <f>'04_Cash_Flow'!L12</f>
        <v/>
      </c>
      <c r="M9" s="42">
        <f>'04_Cash_Flow'!M12</f>
        <v/>
      </c>
      <c r="N9" s="42">
        <f>M9</f>
        <v/>
      </c>
    </row>
    <row r="10">
      <c r="A10" s="10" t="inlineStr">
        <is>
          <t>Trade Investment</t>
        </is>
      </c>
      <c r="B10" s="42">
        <f>'02_P&amp;L'!B22</f>
        <v/>
      </c>
      <c r="C10" s="42">
        <f>'02_P&amp;L'!C22</f>
        <v/>
      </c>
      <c r="D10" s="42">
        <f>'02_P&amp;L'!D22</f>
        <v/>
      </c>
      <c r="E10" s="42">
        <f>'02_P&amp;L'!E22</f>
        <v/>
      </c>
      <c r="F10" s="42">
        <f>'02_P&amp;L'!F22</f>
        <v/>
      </c>
      <c r="G10" s="42">
        <f>'02_P&amp;L'!G22</f>
        <v/>
      </c>
      <c r="H10" s="42">
        <f>'02_P&amp;L'!H22</f>
        <v/>
      </c>
      <c r="I10" s="42">
        <f>'02_P&amp;L'!I22</f>
        <v/>
      </c>
      <c r="J10" s="42">
        <f>'02_P&amp;L'!J22</f>
        <v/>
      </c>
      <c r="K10" s="42">
        <f>'02_P&amp;L'!K22</f>
        <v/>
      </c>
      <c r="L10" s="42">
        <f>'02_P&amp;L'!L22</f>
        <v/>
      </c>
      <c r="M10" s="42">
        <f>'02_P&amp;L'!M22</f>
        <v/>
      </c>
      <c r="N10" s="42">
        <f>'02_P&amp;L'!N25</f>
        <v/>
      </c>
    </row>
    <row r="11">
      <c r="A11" s="10" t="inlineStr">
        <is>
          <t>A&amp;P</t>
        </is>
      </c>
      <c r="B11" s="42">
        <f>'02_P&amp;L'!B23</f>
        <v/>
      </c>
      <c r="C11" s="42">
        <f>'02_P&amp;L'!C23</f>
        <v/>
      </c>
      <c r="D11" s="42">
        <f>'02_P&amp;L'!D23</f>
        <v/>
      </c>
      <c r="E11" s="42">
        <f>'02_P&amp;L'!E23</f>
        <v/>
      </c>
      <c r="F11" s="42">
        <f>'02_P&amp;L'!F23</f>
        <v/>
      </c>
      <c r="G11" s="42">
        <f>'02_P&amp;L'!G23</f>
        <v/>
      </c>
      <c r="H11" s="42">
        <f>'02_P&amp;L'!H23</f>
        <v/>
      </c>
      <c r="I11" s="42">
        <f>'02_P&amp;L'!I23</f>
        <v/>
      </c>
      <c r="J11" s="42">
        <f>'02_P&amp;L'!J23</f>
        <v/>
      </c>
      <c r="K11" s="42">
        <f>'02_P&amp;L'!K23</f>
        <v/>
      </c>
      <c r="L11" s="42">
        <f>'02_P&amp;L'!L23</f>
        <v/>
      </c>
      <c r="M11" s="42">
        <f>'02_P&amp;L'!M23</f>
        <v/>
      </c>
      <c r="N11" s="42">
        <f>'02_P&amp;L'!N26</f>
        <v/>
      </c>
    </row>
    <row r="12">
      <c r="A12" s="10" t="inlineStr">
        <is>
          <t>Overhead Target</t>
        </is>
      </c>
      <c r="B12" s="42">
        <f>'02_P&amp;L'!B24</f>
        <v/>
      </c>
      <c r="C12" s="42">
        <f>'02_P&amp;L'!C24</f>
        <v/>
      </c>
      <c r="D12" s="42">
        <f>'02_P&amp;L'!D24</f>
        <v/>
      </c>
      <c r="E12" s="42">
        <f>'02_P&amp;L'!E24</f>
        <v/>
      </c>
      <c r="F12" s="42">
        <f>'02_P&amp;L'!F24</f>
        <v/>
      </c>
      <c r="G12" s="42">
        <f>'02_P&amp;L'!G24</f>
        <v/>
      </c>
      <c r="H12" s="42">
        <f>'02_P&amp;L'!H24</f>
        <v/>
      </c>
      <c r="I12" s="42">
        <f>'02_P&amp;L'!I24</f>
        <v/>
      </c>
      <c r="J12" s="42">
        <f>'02_P&amp;L'!J24</f>
        <v/>
      </c>
      <c r="K12" s="42">
        <f>'02_P&amp;L'!K24</f>
        <v/>
      </c>
      <c r="L12" s="42">
        <f>'02_P&amp;L'!L24</f>
        <v/>
      </c>
      <c r="M12" s="42">
        <f>'02_P&amp;L'!M24</f>
        <v/>
      </c>
      <c r="N12" s="42">
        <f>'02_P&amp;L'!N27</f>
        <v/>
      </c>
    </row>
    <row r="15">
      <c r="A15" s="8" t="inlineStr">
        <is>
          <t>Major Forecast</t>
        </is>
      </c>
    </row>
    <row r="16">
      <c r="A16" s="10" t="inlineStr">
        <is>
          <t>Revenue</t>
        </is>
      </c>
      <c r="B16" s="42">
        <f>'02_P&amp;L'!B30</f>
        <v/>
      </c>
      <c r="C16" s="42">
        <f>'02_P&amp;L'!C30</f>
        <v/>
      </c>
      <c r="D16" s="42">
        <f>'02_P&amp;L'!D30</f>
        <v/>
      </c>
      <c r="E16" s="42">
        <f>'02_P&amp;L'!E30</f>
        <v/>
      </c>
      <c r="F16" s="42">
        <f>'02_P&amp;L'!F30</f>
        <v/>
      </c>
      <c r="G16" s="42">
        <f>'02_P&amp;L'!G30</f>
        <v/>
      </c>
      <c r="H16" s="42">
        <f>'02_P&amp;L'!H30</f>
        <v/>
      </c>
      <c r="I16" s="42">
        <f>'02_P&amp;L'!I30</f>
        <v/>
      </c>
      <c r="J16" s="42">
        <f>'02_P&amp;L'!J30</f>
        <v/>
      </c>
      <c r="K16" s="42">
        <f>'02_P&amp;L'!K30</f>
        <v/>
      </c>
      <c r="L16" s="42">
        <f>'02_P&amp;L'!L30</f>
        <v/>
      </c>
      <c r="M16" s="42">
        <f>'02_P&amp;L'!M30</f>
        <v/>
      </c>
      <c r="N16" s="42">
        <f>'02_P&amp;L'!N30</f>
        <v/>
      </c>
    </row>
    <row r="17">
      <c r="A17" s="10" t="inlineStr">
        <is>
          <t>Gross Margin</t>
        </is>
      </c>
      <c r="B17" s="43">
        <f>'02_P&amp;L'!B33</f>
        <v/>
      </c>
      <c r="C17" s="43">
        <f>'02_P&amp;L'!C33</f>
        <v/>
      </c>
      <c r="D17" s="43">
        <f>'02_P&amp;L'!D33</f>
        <v/>
      </c>
      <c r="E17" s="43">
        <f>'02_P&amp;L'!E33</f>
        <v/>
      </c>
      <c r="F17" s="43">
        <f>'02_P&amp;L'!F33</f>
        <v/>
      </c>
      <c r="G17" s="43">
        <f>'02_P&amp;L'!G33</f>
        <v/>
      </c>
      <c r="H17" s="43">
        <f>'02_P&amp;L'!H33</f>
        <v/>
      </c>
      <c r="I17" s="43">
        <f>'02_P&amp;L'!I33</f>
        <v/>
      </c>
      <c r="J17" s="43">
        <f>'02_P&amp;L'!J33</f>
        <v/>
      </c>
      <c r="K17" s="43">
        <f>'02_P&amp;L'!K33</f>
        <v/>
      </c>
      <c r="L17" s="43">
        <f>'02_P&amp;L'!L33</f>
        <v/>
      </c>
      <c r="M17" s="43">
        <f>'02_P&amp;L'!M33</f>
        <v/>
      </c>
      <c r="N17" s="43">
        <f>'02_P&amp;L'!N33</f>
        <v/>
      </c>
    </row>
    <row r="18">
      <c r="A18" s="10" t="inlineStr">
        <is>
          <t>EBITDA</t>
        </is>
      </c>
      <c r="B18" s="42">
        <f>'02_P&amp;L'!B37</f>
        <v/>
      </c>
      <c r="C18" s="42">
        <f>'02_P&amp;L'!C37</f>
        <v/>
      </c>
      <c r="D18" s="42">
        <f>'02_P&amp;L'!D37</f>
        <v/>
      </c>
      <c r="E18" s="42">
        <f>'02_P&amp;L'!E37</f>
        <v/>
      </c>
      <c r="F18" s="42">
        <f>'02_P&amp;L'!F37</f>
        <v/>
      </c>
      <c r="G18" s="42">
        <f>'02_P&amp;L'!G37</f>
        <v/>
      </c>
      <c r="H18" s="42">
        <f>'02_P&amp;L'!H37</f>
        <v/>
      </c>
      <c r="I18" s="42">
        <f>'02_P&amp;L'!I37</f>
        <v/>
      </c>
      <c r="J18" s="42">
        <f>'02_P&amp;L'!J37</f>
        <v/>
      </c>
      <c r="K18" s="42">
        <f>'02_P&amp;L'!K37</f>
        <v/>
      </c>
      <c r="L18" s="42">
        <f>'02_P&amp;L'!L37</f>
        <v/>
      </c>
      <c r="M18" s="42">
        <f>'02_P&amp;L'!M37</f>
        <v/>
      </c>
      <c r="N18" s="42">
        <f>'02_P&amp;L'!N37</f>
        <v/>
      </c>
    </row>
    <row r="19">
      <c r="A19" s="10" t="inlineStr">
        <is>
          <t>Cash</t>
        </is>
      </c>
      <c r="B19" s="42">
        <f>'04_Cash_Flow'!B11</f>
        <v/>
      </c>
      <c r="C19" s="42">
        <f>'04_Cash_Flow'!C11</f>
        <v/>
      </c>
      <c r="D19" s="42">
        <f>'04_Cash_Flow'!D11</f>
        <v/>
      </c>
      <c r="E19" s="42">
        <f>'04_Cash_Flow'!E11</f>
        <v/>
      </c>
      <c r="F19" s="42">
        <f>'04_Cash_Flow'!F11</f>
        <v/>
      </c>
      <c r="G19" s="42">
        <f>'04_Cash_Flow'!G11</f>
        <v/>
      </c>
      <c r="H19" s="42">
        <f>'04_Cash_Flow'!H11</f>
        <v/>
      </c>
      <c r="I19" s="42">
        <f>'04_Cash_Flow'!I11</f>
        <v/>
      </c>
      <c r="J19" s="42">
        <f>'04_Cash_Flow'!J11</f>
        <v/>
      </c>
      <c r="K19" s="42">
        <f>'04_Cash_Flow'!K11</f>
        <v/>
      </c>
      <c r="L19" s="42">
        <f>'04_Cash_Flow'!L11</f>
        <v/>
      </c>
      <c r="M19" s="42">
        <f>'04_Cash_Flow'!M11</f>
        <v/>
      </c>
      <c r="N19" s="42">
        <f>M19</f>
        <v/>
      </c>
    </row>
    <row r="20">
      <c r="A20" s="10" t="inlineStr">
        <is>
          <t>Trade Investment</t>
        </is>
      </c>
      <c r="B20" s="42">
        <f>'02_P&amp;L'!B34</f>
        <v/>
      </c>
      <c r="C20" s="42">
        <f>'02_P&amp;L'!C34</f>
        <v/>
      </c>
      <c r="D20" s="42">
        <f>'02_P&amp;L'!D34</f>
        <v/>
      </c>
      <c r="E20" s="42">
        <f>'02_P&amp;L'!E34</f>
        <v/>
      </c>
      <c r="F20" s="42">
        <f>'02_P&amp;L'!F34</f>
        <v/>
      </c>
      <c r="G20" s="42">
        <f>'02_P&amp;L'!G34</f>
        <v/>
      </c>
      <c r="H20" s="42">
        <f>'02_P&amp;L'!H34</f>
        <v/>
      </c>
      <c r="I20" s="42">
        <f>'02_P&amp;L'!I34</f>
        <v/>
      </c>
      <c r="J20" s="42">
        <f>'02_P&amp;L'!J34</f>
        <v/>
      </c>
      <c r="K20" s="42">
        <f>'02_P&amp;L'!K34</f>
        <v/>
      </c>
      <c r="L20" s="42">
        <f>'02_P&amp;L'!L34</f>
        <v/>
      </c>
      <c r="M20" s="42">
        <f>'02_P&amp;L'!M34</f>
        <v/>
      </c>
      <c r="N20" s="42">
        <f>'02_P&amp;L'!N37</f>
        <v/>
      </c>
    </row>
    <row r="21">
      <c r="A21" s="10" t="inlineStr">
        <is>
          <t>A&amp;P</t>
        </is>
      </c>
      <c r="B21" s="42">
        <f>'02_P&amp;L'!B35</f>
        <v/>
      </c>
      <c r="C21" s="42">
        <f>'02_P&amp;L'!C35</f>
        <v/>
      </c>
      <c r="D21" s="42">
        <f>'02_P&amp;L'!D35</f>
        <v/>
      </c>
      <c r="E21" s="42">
        <f>'02_P&amp;L'!E35</f>
        <v/>
      </c>
      <c r="F21" s="42">
        <f>'02_P&amp;L'!F35</f>
        <v/>
      </c>
      <c r="G21" s="42">
        <f>'02_P&amp;L'!G35</f>
        <v/>
      </c>
      <c r="H21" s="42">
        <f>'02_P&amp;L'!H35</f>
        <v/>
      </c>
      <c r="I21" s="42">
        <f>'02_P&amp;L'!I35</f>
        <v/>
      </c>
      <c r="J21" s="42">
        <f>'02_P&amp;L'!J35</f>
        <v/>
      </c>
      <c r="K21" s="42">
        <f>'02_P&amp;L'!K35</f>
        <v/>
      </c>
      <c r="L21" s="42">
        <f>'02_P&amp;L'!L35</f>
        <v/>
      </c>
      <c r="M21" s="42">
        <f>'02_P&amp;L'!M35</f>
        <v/>
      </c>
      <c r="N21" s="42">
        <f>'02_P&amp;L'!N38</f>
        <v/>
      </c>
    </row>
    <row r="22">
      <c r="A22" s="10" t="inlineStr">
        <is>
          <t>Overhead Target</t>
        </is>
      </c>
      <c r="B22" s="42">
        <f>'02_P&amp;L'!B36</f>
        <v/>
      </c>
      <c r="C22" s="42">
        <f>'02_P&amp;L'!C36</f>
        <v/>
      </c>
      <c r="D22" s="42">
        <f>'02_P&amp;L'!D36</f>
        <v/>
      </c>
      <c r="E22" s="42">
        <f>'02_P&amp;L'!E36</f>
        <v/>
      </c>
      <c r="F22" s="42">
        <f>'02_P&amp;L'!F36</f>
        <v/>
      </c>
      <c r="G22" s="42">
        <f>'02_P&amp;L'!G36</f>
        <v/>
      </c>
      <c r="H22" s="42">
        <f>'02_P&amp;L'!H36</f>
        <v/>
      </c>
      <c r="I22" s="42">
        <f>'02_P&amp;L'!I36</f>
        <v/>
      </c>
      <c r="J22" s="42">
        <f>'02_P&amp;L'!J36</f>
        <v/>
      </c>
      <c r="K22" s="42">
        <f>'02_P&amp;L'!K36</f>
        <v/>
      </c>
      <c r="L22" s="42">
        <f>'02_P&amp;L'!L36</f>
        <v/>
      </c>
      <c r="M22" s="42">
        <f>'02_P&amp;L'!M36</f>
        <v/>
      </c>
      <c r="N22" s="42">
        <f>'02_P&amp;L'!N39</f>
        <v/>
      </c>
    </row>
    <row r="25">
      <c r="A25" s="8" t="inlineStr">
        <is>
          <t>Rolling Forecast</t>
        </is>
      </c>
    </row>
    <row r="26">
      <c r="A26" s="10" t="inlineStr">
        <is>
          <t>Revenue</t>
        </is>
      </c>
      <c r="B26" s="42">
        <f>'02_P&amp;L'!B42</f>
        <v/>
      </c>
      <c r="C26" s="42">
        <f>'02_P&amp;L'!C42</f>
        <v/>
      </c>
      <c r="D26" s="42">
        <f>'02_P&amp;L'!D42</f>
        <v/>
      </c>
      <c r="E26" s="42">
        <f>'02_P&amp;L'!E42</f>
        <v/>
      </c>
      <c r="F26" s="42">
        <f>'02_P&amp;L'!F42</f>
        <v/>
      </c>
      <c r="G26" s="42">
        <f>'02_P&amp;L'!G42</f>
        <v/>
      </c>
      <c r="H26" s="42">
        <f>'02_P&amp;L'!H42</f>
        <v/>
      </c>
      <c r="I26" s="42">
        <f>'02_P&amp;L'!I42</f>
        <v/>
      </c>
      <c r="J26" s="42">
        <f>'02_P&amp;L'!J42</f>
        <v/>
      </c>
      <c r="K26" s="42">
        <f>'02_P&amp;L'!K42</f>
        <v/>
      </c>
      <c r="L26" s="42">
        <f>'02_P&amp;L'!L42</f>
        <v/>
      </c>
      <c r="M26" s="42">
        <f>'02_P&amp;L'!M42</f>
        <v/>
      </c>
      <c r="N26" s="42">
        <f>'02_P&amp;L'!N42</f>
        <v/>
      </c>
    </row>
    <row r="27">
      <c r="A27" s="10" t="inlineStr">
        <is>
          <t>Gross Margin</t>
        </is>
      </c>
      <c r="B27" s="43">
        <f>'02_P&amp;L'!B45</f>
        <v/>
      </c>
      <c r="C27" s="43">
        <f>'02_P&amp;L'!C45</f>
        <v/>
      </c>
      <c r="D27" s="43">
        <f>'02_P&amp;L'!D45</f>
        <v/>
      </c>
      <c r="E27" s="43">
        <f>'02_P&amp;L'!E45</f>
        <v/>
      </c>
      <c r="F27" s="43">
        <f>'02_P&amp;L'!F45</f>
        <v/>
      </c>
      <c r="G27" s="43">
        <f>'02_P&amp;L'!G45</f>
        <v/>
      </c>
      <c r="H27" s="43">
        <f>'02_P&amp;L'!H45</f>
        <v/>
      </c>
      <c r="I27" s="43">
        <f>'02_P&amp;L'!I45</f>
        <v/>
      </c>
      <c r="J27" s="43">
        <f>'02_P&amp;L'!J45</f>
        <v/>
      </c>
      <c r="K27" s="43">
        <f>'02_P&amp;L'!K45</f>
        <v/>
      </c>
      <c r="L27" s="43">
        <f>'02_P&amp;L'!L45</f>
        <v/>
      </c>
      <c r="M27" s="43">
        <f>'02_P&amp;L'!M45</f>
        <v/>
      </c>
      <c r="N27" s="43">
        <f>'02_P&amp;L'!N45</f>
        <v/>
      </c>
    </row>
    <row r="28">
      <c r="A28" s="10" t="inlineStr">
        <is>
          <t>EBITDA</t>
        </is>
      </c>
      <c r="B28" s="42">
        <f>'02_P&amp;L'!B49</f>
        <v/>
      </c>
      <c r="C28" s="42">
        <f>'02_P&amp;L'!C49</f>
        <v/>
      </c>
      <c r="D28" s="42">
        <f>'02_P&amp;L'!D49</f>
        <v/>
      </c>
      <c r="E28" s="42">
        <f>'02_P&amp;L'!E49</f>
        <v/>
      </c>
      <c r="F28" s="42">
        <f>'02_P&amp;L'!F49</f>
        <v/>
      </c>
      <c r="G28" s="42">
        <f>'02_P&amp;L'!G49</f>
        <v/>
      </c>
      <c r="H28" s="42">
        <f>'02_P&amp;L'!H49</f>
        <v/>
      </c>
      <c r="I28" s="42">
        <f>'02_P&amp;L'!I49</f>
        <v/>
      </c>
      <c r="J28" s="42">
        <f>'02_P&amp;L'!J49</f>
        <v/>
      </c>
      <c r="K28" s="42">
        <f>'02_P&amp;L'!K49</f>
        <v/>
      </c>
      <c r="L28" s="42">
        <f>'02_P&amp;L'!L49</f>
        <v/>
      </c>
      <c r="M28" s="42">
        <f>'02_P&amp;L'!M49</f>
        <v/>
      </c>
      <c r="N28" s="42">
        <f>'02_P&amp;L'!N49</f>
        <v/>
      </c>
    </row>
    <row r="29">
      <c r="A29" s="10" t="inlineStr">
        <is>
          <t>Cash</t>
        </is>
      </c>
      <c r="B29" s="42">
        <f>'04_Cash_Flow'!B11</f>
        <v/>
      </c>
      <c r="C29" s="42">
        <f>'04_Cash_Flow'!C11</f>
        <v/>
      </c>
      <c r="D29" s="42">
        <f>'04_Cash_Flow'!D11</f>
        <v/>
      </c>
      <c r="E29" s="42">
        <f>'04_Cash_Flow'!E11</f>
        <v/>
      </c>
      <c r="F29" s="42">
        <f>'04_Cash_Flow'!F11</f>
        <v/>
      </c>
      <c r="G29" s="42">
        <f>'04_Cash_Flow'!G11</f>
        <v/>
      </c>
      <c r="H29" s="42">
        <f>'04_Cash_Flow'!H11</f>
        <v/>
      </c>
      <c r="I29" s="42">
        <f>'04_Cash_Flow'!I11</f>
        <v/>
      </c>
      <c r="J29" s="42">
        <f>'04_Cash_Flow'!J11</f>
        <v/>
      </c>
      <c r="K29" s="42">
        <f>'04_Cash_Flow'!K11</f>
        <v/>
      </c>
      <c r="L29" s="42">
        <f>'04_Cash_Flow'!L11</f>
        <v/>
      </c>
      <c r="M29" s="42">
        <f>'04_Cash_Flow'!M11</f>
        <v/>
      </c>
      <c r="N29" s="42">
        <f>M29</f>
        <v/>
      </c>
    </row>
    <row r="30">
      <c r="A30" s="10" t="inlineStr">
        <is>
          <t>Trade Investment</t>
        </is>
      </c>
      <c r="B30" s="42">
        <f>'02_P&amp;L'!B46</f>
        <v/>
      </c>
      <c r="C30" s="42">
        <f>'02_P&amp;L'!C46</f>
        <v/>
      </c>
      <c r="D30" s="42">
        <f>'02_P&amp;L'!D46</f>
        <v/>
      </c>
      <c r="E30" s="42">
        <f>'02_P&amp;L'!E46</f>
        <v/>
      </c>
      <c r="F30" s="42">
        <f>'02_P&amp;L'!F46</f>
        <v/>
      </c>
      <c r="G30" s="42">
        <f>'02_P&amp;L'!G46</f>
        <v/>
      </c>
      <c r="H30" s="42">
        <f>'02_P&amp;L'!H46</f>
        <v/>
      </c>
      <c r="I30" s="42">
        <f>'02_P&amp;L'!I46</f>
        <v/>
      </c>
      <c r="J30" s="42">
        <f>'02_P&amp;L'!J46</f>
        <v/>
      </c>
      <c r="K30" s="42">
        <f>'02_P&amp;L'!K46</f>
        <v/>
      </c>
      <c r="L30" s="42">
        <f>'02_P&amp;L'!L46</f>
        <v/>
      </c>
      <c r="M30" s="42">
        <f>'02_P&amp;L'!M46</f>
        <v/>
      </c>
      <c r="N30" s="42">
        <f>'02_P&amp;L'!N49</f>
        <v/>
      </c>
    </row>
    <row r="31">
      <c r="A31" s="10" t="inlineStr">
        <is>
          <t>A&amp;P</t>
        </is>
      </c>
      <c r="B31" s="42">
        <f>'02_P&amp;L'!B47</f>
        <v/>
      </c>
      <c r="C31" s="42">
        <f>'02_P&amp;L'!C47</f>
        <v/>
      </c>
      <c r="D31" s="42">
        <f>'02_P&amp;L'!D47</f>
        <v/>
      </c>
      <c r="E31" s="42">
        <f>'02_P&amp;L'!E47</f>
        <v/>
      </c>
      <c r="F31" s="42">
        <f>'02_P&amp;L'!F47</f>
        <v/>
      </c>
      <c r="G31" s="42">
        <f>'02_P&amp;L'!G47</f>
        <v/>
      </c>
      <c r="H31" s="42">
        <f>'02_P&amp;L'!H47</f>
        <v/>
      </c>
      <c r="I31" s="42">
        <f>'02_P&amp;L'!I47</f>
        <v/>
      </c>
      <c r="J31" s="42">
        <f>'02_P&amp;L'!J47</f>
        <v/>
      </c>
      <c r="K31" s="42">
        <f>'02_P&amp;L'!K47</f>
        <v/>
      </c>
      <c r="L31" s="42">
        <f>'02_P&amp;L'!L47</f>
        <v/>
      </c>
      <c r="M31" s="42">
        <f>'02_P&amp;L'!M47</f>
        <v/>
      </c>
      <c r="N31" s="42">
        <f>'02_P&amp;L'!N50</f>
        <v/>
      </c>
    </row>
    <row r="32">
      <c r="A32" s="10" t="inlineStr">
        <is>
          <t>Overhead Target</t>
        </is>
      </c>
      <c r="B32" s="42">
        <f>'02_P&amp;L'!B48</f>
        <v/>
      </c>
      <c r="C32" s="42">
        <f>'02_P&amp;L'!C48</f>
        <v/>
      </c>
      <c r="D32" s="42">
        <f>'02_P&amp;L'!D48</f>
        <v/>
      </c>
      <c r="E32" s="42">
        <f>'02_P&amp;L'!E48</f>
        <v/>
      </c>
      <c r="F32" s="42">
        <f>'02_P&amp;L'!F48</f>
        <v/>
      </c>
      <c r="G32" s="42">
        <f>'02_P&amp;L'!G48</f>
        <v/>
      </c>
      <c r="H32" s="42">
        <f>'02_P&amp;L'!H48</f>
        <v/>
      </c>
      <c r="I32" s="42">
        <f>'02_P&amp;L'!I48</f>
        <v/>
      </c>
      <c r="J32" s="42">
        <f>'02_P&amp;L'!J48</f>
        <v/>
      </c>
      <c r="K32" s="42">
        <f>'02_P&amp;L'!K48</f>
        <v/>
      </c>
      <c r="L32" s="42">
        <f>'02_P&amp;L'!L48</f>
        <v/>
      </c>
      <c r="M32" s="42">
        <f>'02_P&amp;L'!M48</f>
        <v/>
      </c>
      <c r="N32" s="42">
        <f>'02_P&amp;L'!N51</f>
        <v/>
      </c>
    </row>
  </sheetData>
  <mergeCells count="5">
    <mergeCell ref="A2:N2"/>
    <mergeCell ref="A15:N15"/>
    <mergeCell ref="A25:N25"/>
    <mergeCell ref="A5:N5"/>
    <mergeCell ref="A1:N1"/>
  </mergeCells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M437"/>
  <sheetViews>
    <sheetView showGridLines="0"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6" customWidth="1" min="4" max="4"/>
    <col width="18" customWidth="1" min="5" max="5"/>
    <col width="14" customWidth="1" min="6" max="6"/>
    <col width="18" customWidth="1" min="7" max="7"/>
    <col width="19" customWidth="1" min="8" max="8"/>
    <col width="18" customWidth="1" min="9" max="9"/>
    <col width="22" customWidth="1" min="10" max="10"/>
    <col width="22" customWidth="1" min="11" max="11"/>
    <col width="14" customWidth="1" min="12" max="12"/>
    <col width="13" customWidth="1" min="13" max="13"/>
  </cols>
  <sheetData>
    <row r="1" ht="28" customHeight="1">
      <c r="A1" s="1" t="inlineStr">
        <is>
          <t>Growth Drivers | Consumption &amp; Commercial Expansion</t>
        </is>
      </c>
    </row>
    <row r="2" ht="29" customHeight="1">
      <c r="A2" s="2" t="inlineStr">
        <is>
          <t>432 observations: month x region x channel x category | IDR juta where applicable</t>
        </is>
      </c>
    </row>
    <row r="5" ht="30" customHeight="1">
      <c r="A5" s="9" t="inlineStr">
        <is>
          <t>Month</t>
        </is>
      </c>
      <c r="B5" s="9" t="inlineStr">
        <is>
          <t>Region</t>
        </is>
      </c>
      <c r="C5" s="9" t="inlineStr">
        <is>
          <t>Channel</t>
        </is>
      </c>
      <c r="D5" s="9" t="inlineStr">
        <is>
          <t>Category</t>
        </is>
      </c>
      <c r="E5" s="9" t="inlineStr">
        <is>
          <t>Consumption Volume</t>
        </is>
      </c>
      <c r="F5" s="9" t="inlineStr">
        <is>
          <t>Net Sales</t>
        </is>
      </c>
      <c r="G5" s="9" t="inlineStr">
        <is>
          <t>Numeric Distribution</t>
        </is>
      </c>
      <c r="H5" s="9" t="inlineStr">
        <is>
          <t>Weighted Distribution</t>
        </is>
      </c>
      <c r="I5" s="9" t="inlineStr">
        <is>
          <t>Digital Commerce Mix</t>
        </is>
      </c>
      <c r="J5" s="9" t="inlineStr">
        <is>
          <t>Media / Expert Investment</t>
        </is>
      </c>
      <c r="K5" s="9" t="inlineStr">
        <is>
          <t>Incremental Gross Profit</t>
        </is>
      </c>
      <c r="L5" s="9" t="inlineStr">
        <is>
          <t>Growth Rate</t>
        </is>
      </c>
      <c r="M5" s="9" t="inlineStr">
        <is>
          <t>Growth RAG</t>
        </is>
      </c>
    </row>
    <row r="6">
      <c r="A6" s="27" t="inlineStr">
        <is>
          <t>Jan 2026</t>
        </is>
      </c>
      <c r="B6" s="27" t="inlineStr">
        <is>
          <t>Jabodetabek</t>
        </is>
      </c>
      <c r="C6" s="27" t="inlineStr">
        <is>
          <t>General Trade</t>
        </is>
      </c>
      <c r="D6" s="27" t="inlineStr">
        <is>
          <t>Personal Care</t>
        </is>
      </c>
      <c r="E6" s="28" t="n">
        <v>410</v>
      </c>
      <c r="F6" s="44" t="n">
        <v>95</v>
      </c>
      <c r="G6" s="38" t="n">
        <v>0.52</v>
      </c>
      <c r="H6" s="38" t="n">
        <v>0.61</v>
      </c>
      <c r="I6" s="38" t="n">
        <v>0.06</v>
      </c>
      <c r="J6" s="44" t="n">
        <v>2</v>
      </c>
      <c r="K6" s="44" t="n">
        <v>21</v>
      </c>
      <c r="L6" s="43" t="n">
        <v>0</v>
      </c>
      <c r="M6" s="13">
        <f>IF(L6&gt;=0,"Green",IF(ABS(L6)&lt;='00_Readme'!$B$14,"Amber","Red"))</f>
        <v/>
      </c>
    </row>
    <row r="7">
      <c r="A7" s="27" t="inlineStr">
        <is>
          <t>Jan 2026</t>
        </is>
      </c>
      <c r="B7" s="27" t="inlineStr">
        <is>
          <t>Jabodetabek</t>
        </is>
      </c>
      <c r="C7" s="27" t="inlineStr">
        <is>
          <t>General Trade</t>
        </is>
      </c>
      <c r="D7" s="27" t="inlineStr">
        <is>
          <t>Home Care</t>
        </is>
      </c>
      <c r="E7" s="28" t="n">
        <v>448</v>
      </c>
      <c r="F7" s="44" t="n">
        <v>111</v>
      </c>
      <c r="G7" s="38" t="n">
        <v>0.52</v>
      </c>
      <c r="H7" s="38" t="n">
        <v>0.62</v>
      </c>
      <c r="I7" s="38" t="n">
        <v>0.06</v>
      </c>
      <c r="J7" s="44" t="n">
        <v>3</v>
      </c>
      <c r="K7" s="44" t="n">
        <v>26</v>
      </c>
      <c r="L7" s="43" t="n">
        <v>0</v>
      </c>
      <c r="M7" s="13">
        <f>IF(L7&gt;=0,"Green",IF(ABS(L7)&lt;='00_Readme'!$B$14,"Amber","Red"))</f>
        <v/>
      </c>
    </row>
    <row r="8">
      <c r="A8" s="27" t="inlineStr">
        <is>
          <t>Jan 2026</t>
        </is>
      </c>
      <c r="B8" s="27" t="inlineStr">
        <is>
          <t>Jabodetabek</t>
        </is>
      </c>
      <c r="C8" s="27" t="inlineStr">
        <is>
          <t>General Trade</t>
        </is>
      </c>
      <c r="D8" s="27" t="inlineStr">
        <is>
          <t>Beverages</t>
        </is>
      </c>
      <c r="E8" s="28" t="n">
        <v>486</v>
      </c>
      <c r="F8" s="44" t="n">
        <v>127</v>
      </c>
      <c r="G8" s="38" t="n">
        <v>0.52</v>
      </c>
      <c r="H8" s="38" t="n">
        <v>0.63</v>
      </c>
      <c r="I8" s="38" t="n">
        <v>0.06</v>
      </c>
      <c r="J8" s="44" t="n">
        <v>3</v>
      </c>
      <c r="K8" s="44" t="n">
        <v>32</v>
      </c>
      <c r="L8" s="43" t="n">
        <v>0</v>
      </c>
      <c r="M8" s="13">
        <f>IF(L8&gt;=0,"Green",IF(ABS(L8)&lt;='00_Readme'!$B$14,"Amber","Red"))</f>
        <v/>
      </c>
    </row>
    <row r="9">
      <c r="A9" s="27" t="inlineStr">
        <is>
          <t>Jan 2026</t>
        </is>
      </c>
      <c r="B9" s="27" t="inlineStr">
        <is>
          <t>Jabodetabek</t>
        </is>
      </c>
      <c r="C9" s="27" t="inlineStr">
        <is>
          <t>Modern Trade</t>
        </is>
      </c>
      <c r="D9" s="27" t="inlineStr">
        <is>
          <t>Personal Care</t>
        </is>
      </c>
      <c r="E9" s="28" t="n">
        <v>485</v>
      </c>
      <c r="F9" s="44" t="n">
        <v>123</v>
      </c>
      <c r="G9" s="38" t="n">
        <v>0.5600000000000001</v>
      </c>
      <c r="H9" s="38" t="n">
        <v>0.65</v>
      </c>
      <c r="I9" s="38" t="n">
        <v>0.14</v>
      </c>
      <c r="J9" s="44" t="n">
        <v>4</v>
      </c>
      <c r="K9" s="44" t="n">
        <v>27</v>
      </c>
      <c r="L9" s="43" t="n">
        <v>0</v>
      </c>
      <c r="M9" s="13">
        <f>IF(L9&gt;=0,"Green",IF(ABS(L9)&lt;='00_Readme'!$B$14,"Amber","Red"))</f>
        <v/>
      </c>
    </row>
    <row r="10">
      <c r="A10" s="27" t="inlineStr">
        <is>
          <t>Jan 2026</t>
        </is>
      </c>
      <c r="B10" s="27" t="inlineStr">
        <is>
          <t>Jabodetabek</t>
        </is>
      </c>
      <c r="C10" s="27" t="inlineStr">
        <is>
          <t>Modern Trade</t>
        </is>
      </c>
      <c r="D10" s="27" t="inlineStr">
        <is>
          <t>Home Care</t>
        </is>
      </c>
      <c r="E10" s="28" t="n">
        <v>523</v>
      </c>
      <c r="F10" s="44" t="n">
        <v>139</v>
      </c>
      <c r="G10" s="38" t="n">
        <v>0.5600000000000001</v>
      </c>
      <c r="H10" s="38" t="n">
        <v>0.66</v>
      </c>
      <c r="I10" s="38" t="n">
        <v>0.14</v>
      </c>
      <c r="J10" s="44" t="n">
        <v>5</v>
      </c>
      <c r="K10" s="44" t="n">
        <v>33</v>
      </c>
      <c r="L10" s="43" t="n">
        <v>0</v>
      </c>
      <c r="M10" s="13">
        <f>IF(L10&gt;=0,"Green",IF(ABS(L10)&lt;='00_Readme'!$B$14,"Amber","Red"))</f>
        <v/>
      </c>
    </row>
    <row r="11">
      <c r="A11" s="27" t="inlineStr">
        <is>
          <t>Jan 2026</t>
        </is>
      </c>
      <c r="B11" s="27" t="inlineStr">
        <is>
          <t>Jabodetabek</t>
        </is>
      </c>
      <c r="C11" s="27" t="inlineStr">
        <is>
          <t>Modern Trade</t>
        </is>
      </c>
      <c r="D11" s="27" t="inlineStr">
        <is>
          <t>Beverages</t>
        </is>
      </c>
      <c r="E11" s="28" t="n">
        <v>561</v>
      </c>
      <c r="F11" s="44" t="n">
        <v>155</v>
      </c>
      <c r="G11" s="38" t="n">
        <v>0.5600000000000001</v>
      </c>
      <c r="H11" s="38" t="n">
        <v>0.67</v>
      </c>
      <c r="I11" s="38" t="n">
        <v>0.14</v>
      </c>
      <c r="J11" s="44" t="n">
        <v>5</v>
      </c>
      <c r="K11" s="44" t="n">
        <v>39</v>
      </c>
      <c r="L11" s="43" t="n">
        <v>0</v>
      </c>
      <c r="M11" s="13">
        <f>IF(L11&gt;=0,"Green",IF(ABS(L11)&lt;='00_Readme'!$B$14,"Amber","Red"))</f>
        <v/>
      </c>
    </row>
    <row r="12">
      <c r="A12" s="27" t="inlineStr">
        <is>
          <t>Jan 2026</t>
        </is>
      </c>
      <c r="B12" s="27" t="inlineStr">
        <is>
          <t>Jabodetabek</t>
        </is>
      </c>
      <c r="C12" s="27" t="inlineStr">
        <is>
          <t>E-commerce</t>
        </is>
      </c>
      <c r="D12" s="27" t="inlineStr">
        <is>
          <t>Personal Care</t>
        </is>
      </c>
      <c r="E12" s="28" t="n">
        <v>560</v>
      </c>
      <c r="F12" s="44" t="n">
        <v>151</v>
      </c>
      <c r="G12" s="38" t="n">
        <v>0.6</v>
      </c>
      <c r="H12" s="38" t="n">
        <v>0.6899999999999999</v>
      </c>
      <c r="I12" s="38" t="n">
        <v>0.22</v>
      </c>
      <c r="J12" s="44" t="n">
        <v>6</v>
      </c>
      <c r="K12" s="44" t="n">
        <v>33</v>
      </c>
      <c r="L12" s="43" t="n">
        <v>0</v>
      </c>
      <c r="M12" s="13">
        <f>IF(L12&gt;=0,"Green",IF(ABS(L12)&lt;='00_Readme'!$B$14,"Amber","Red"))</f>
        <v/>
      </c>
    </row>
    <row r="13">
      <c r="A13" s="27" t="inlineStr">
        <is>
          <t>Jan 2026</t>
        </is>
      </c>
      <c r="B13" s="27" t="inlineStr">
        <is>
          <t>Jabodetabek</t>
        </is>
      </c>
      <c r="C13" s="27" t="inlineStr">
        <is>
          <t>E-commerce</t>
        </is>
      </c>
      <c r="D13" s="27" t="inlineStr">
        <is>
          <t>Home Care</t>
        </is>
      </c>
      <c r="E13" s="28" t="n">
        <v>598</v>
      </c>
      <c r="F13" s="44" t="n">
        <v>167</v>
      </c>
      <c r="G13" s="38" t="n">
        <v>0.6</v>
      </c>
      <c r="H13" s="38" t="n">
        <v>0.7</v>
      </c>
      <c r="I13" s="38" t="n">
        <v>0.22</v>
      </c>
      <c r="J13" s="44" t="n">
        <v>7</v>
      </c>
      <c r="K13" s="44" t="n">
        <v>39</v>
      </c>
      <c r="L13" s="43" t="n">
        <v>0</v>
      </c>
      <c r="M13" s="13">
        <f>IF(L13&gt;=0,"Green",IF(ABS(L13)&lt;='00_Readme'!$B$14,"Amber","Red"))</f>
        <v/>
      </c>
    </row>
    <row r="14">
      <c r="A14" s="27" t="inlineStr">
        <is>
          <t>Jan 2026</t>
        </is>
      </c>
      <c r="B14" s="27" t="inlineStr">
        <is>
          <t>Jabodetabek</t>
        </is>
      </c>
      <c r="C14" s="27" t="inlineStr">
        <is>
          <t>E-commerce</t>
        </is>
      </c>
      <c r="D14" s="27" t="inlineStr">
        <is>
          <t>Beverages</t>
        </is>
      </c>
      <c r="E14" s="28" t="n">
        <v>636</v>
      </c>
      <c r="F14" s="44" t="n">
        <v>183</v>
      </c>
      <c r="G14" s="38" t="n">
        <v>0.6</v>
      </c>
      <c r="H14" s="38" t="n">
        <v>0.71</v>
      </c>
      <c r="I14" s="38" t="n">
        <v>0.22</v>
      </c>
      <c r="J14" s="44" t="n">
        <v>8</v>
      </c>
      <c r="K14" s="44" t="n">
        <v>46</v>
      </c>
      <c r="L14" s="43" t="n">
        <v>0</v>
      </c>
      <c r="M14" s="13">
        <f>IF(L14&gt;=0,"Green",IF(ABS(L14)&lt;='00_Readme'!$B$14,"Amber","Red"))</f>
        <v/>
      </c>
    </row>
    <row r="15">
      <c r="A15" s="27" t="inlineStr">
        <is>
          <t>Jan 2026</t>
        </is>
      </c>
      <c r="B15" s="27" t="inlineStr">
        <is>
          <t>Jawa Barat</t>
        </is>
      </c>
      <c r="C15" s="27" t="inlineStr">
        <is>
          <t>General Trade</t>
        </is>
      </c>
      <c r="D15" s="27" t="inlineStr">
        <is>
          <t>Personal Care</t>
        </is>
      </c>
      <c r="E15" s="28" t="n">
        <v>462</v>
      </c>
      <c r="F15" s="44" t="n">
        <v>108</v>
      </c>
      <c r="G15" s="38" t="n">
        <v>0.5800000000000001</v>
      </c>
      <c r="H15" s="38" t="n">
        <v>0.67</v>
      </c>
      <c r="I15" s="38" t="n">
        <v>0.06</v>
      </c>
      <c r="J15" s="44" t="n">
        <v>3</v>
      </c>
      <c r="K15" s="44" t="n">
        <v>24</v>
      </c>
      <c r="L15" s="43" t="n">
        <v>0</v>
      </c>
      <c r="M15" s="13">
        <f>IF(L15&gt;=0,"Green",IF(ABS(L15)&lt;='00_Readme'!$B$14,"Amber","Red"))</f>
        <v/>
      </c>
    </row>
    <row r="16">
      <c r="A16" s="27" t="inlineStr">
        <is>
          <t>Jan 2026</t>
        </is>
      </c>
      <c r="B16" s="27" t="inlineStr">
        <is>
          <t>Jawa Barat</t>
        </is>
      </c>
      <c r="C16" s="27" t="inlineStr">
        <is>
          <t>General Trade</t>
        </is>
      </c>
      <c r="D16" s="27" t="inlineStr">
        <is>
          <t>Home Care</t>
        </is>
      </c>
      <c r="E16" s="28" t="n">
        <v>500</v>
      </c>
      <c r="F16" s="44" t="n">
        <v>124</v>
      </c>
      <c r="G16" s="38" t="n">
        <v>0.5800000000000001</v>
      </c>
      <c r="H16" s="38" t="n">
        <v>0.68</v>
      </c>
      <c r="I16" s="38" t="n">
        <v>0.06</v>
      </c>
      <c r="J16" s="44" t="n">
        <v>3</v>
      </c>
      <c r="K16" s="44" t="n">
        <v>29</v>
      </c>
      <c r="L16" s="43" t="n">
        <v>0</v>
      </c>
      <c r="M16" s="13">
        <f>IF(L16&gt;=0,"Green",IF(ABS(L16)&lt;='00_Readme'!$B$14,"Amber","Red"))</f>
        <v/>
      </c>
    </row>
    <row r="17">
      <c r="A17" s="27" t="inlineStr">
        <is>
          <t>Jan 2026</t>
        </is>
      </c>
      <c r="B17" s="27" t="inlineStr">
        <is>
          <t>Jawa Barat</t>
        </is>
      </c>
      <c r="C17" s="27" t="inlineStr">
        <is>
          <t>General Trade</t>
        </is>
      </c>
      <c r="D17" s="27" t="inlineStr">
        <is>
          <t>Beverages</t>
        </is>
      </c>
      <c r="E17" s="28" t="n">
        <v>538</v>
      </c>
      <c r="F17" s="44" t="n">
        <v>140</v>
      </c>
      <c r="G17" s="38" t="n">
        <v>0.5800000000000001</v>
      </c>
      <c r="H17" s="38" t="n">
        <v>0.6900000000000001</v>
      </c>
      <c r="I17" s="38" t="n">
        <v>0.06</v>
      </c>
      <c r="J17" s="44" t="n">
        <v>4</v>
      </c>
      <c r="K17" s="44" t="n">
        <v>35</v>
      </c>
      <c r="L17" s="43" t="n">
        <v>0</v>
      </c>
      <c r="M17" s="13">
        <f>IF(L17&gt;=0,"Green",IF(ABS(L17)&lt;='00_Readme'!$B$14,"Amber","Red"))</f>
        <v/>
      </c>
    </row>
    <row r="18">
      <c r="A18" s="27" t="inlineStr">
        <is>
          <t>Jan 2026</t>
        </is>
      </c>
      <c r="B18" s="27" t="inlineStr">
        <is>
          <t>Jawa Barat</t>
        </is>
      </c>
      <c r="C18" s="27" t="inlineStr">
        <is>
          <t>Modern Trade</t>
        </is>
      </c>
      <c r="D18" s="27" t="inlineStr">
        <is>
          <t>Personal Care</t>
        </is>
      </c>
      <c r="E18" s="28" t="n">
        <v>537</v>
      </c>
      <c r="F18" s="44" t="n">
        <v>136</v>
      </c>
      <c r="G18" s="38" t="n">
        <v>0.6200000000000001</v>
      </c>
      <c r="H18" s="38" t="n">
        <v>0.7100000000000001</v>
      </c>
      <c r="I18" s="38" t="n">
        <v>0.14</v>
      </c>
      <c r="J18" s="44" t="n">
        <v>4</v>
      </c>
      <c r="K18" s="44" t="n">
        <v>30</v>
      </c>
      <c r="L18" s="43" t="n">
        <v>0</v>
      </c>
      <c r="M18" s="13">
        <f>IF(L18&gt;=0,"Green",IF(ABS(L18)&lt;='00_Readme'!$B$14,"Amber","Red"))</f>
        <v/>
      </c>
    </row>
    <row r="19">
      <c r="A19" s="27" t="inlineStr">
        <is>
          <t>Jan 2026</t>
        </is>
      </c>
      <c r="B19" s="27" t="inlineStr">
        <is>
          <t>Jawa Barat</t>
        </is>
      </c>
      <c r="C19" s="27" t="inlineStr">
        <is>
          <t>Modern Trade</t>
        </is>
      </c>
      <c r="D19" s="27" t="inlineStr">
        <is>
          <t>Home Care</t>
        </is>
      </c>
      <c r="E19" s="28" t="n">
        <v>575</v>
      </c>
      <c r="F19" s="44" t="n">
        <v>152</v>
      </c>
      <c r="G19" s="38" t="n">
        <v>0.6200000000000001</v>
      </c>
      <c r="H19" s="38" t="n">
        <v>0.7200000000000001</v>
      </c>
      <c r="I19" s="38" t="n">
        <v>0.14</v>
      </c>
      <c r="J19" s="44" t="n">
        <v>5</v>
      </c>
      <c r="K19" s="44" t="n">
        <v>36</v>
      </c>
      <c r="L19" s="43" t="n">
        <v>0</v>
      </c>
      <c r="M19" s="13">
        <f>IF(L19&gt;=0,"Green",IF(ABS(L19)&lt;='00_Readme'!$B$14,"Amber","Red"))</f>
        <v/>
      </c>
    </row>
    <row r="20">
      <c r="A20" s="27" t="inlineStr">
        <is>
          <t>Jan 2026</t>
        </is>
      </c>
      <c r="B20" s="27" t="inlineStr">
        <is>
          <t>Jawa Barat</t>
        </is>
      </c>
      <c r="C20" s="27" t="inlineStr">
        <is>
          <t>Modern Trade</t>
        </is>
      </c>
      <c r="D20" s="27" t="inlineStr">
        <is>
          <t>Beverages</t>
        </is>
      </c>
      <c r="E20" s="28" t="n">
        <v>613</v>
      </c>
      <c r="F20" s="44" t="n">
        <v>168</v>
      </c>
      <c r="G20" s="38" t="n">
        <v>0.6200000000000001</v>
      </c>
      <c r="H20" s="38" t="n">
        <v>0.7300000000000001</v>
      </c>
      <c r="I20" s="38" t="n">
        <v>0.14</v>
      </c>
      <c r="J20" s="44" t="n">
        <v>6</v>
      </c>
      <c r="K20" s="44" t="n">
        <v>42</v>
      </c>
      <c r="L20" s="43" t="n">
        <v>0</v>
      </c>
      <c r="M20" s="13">
        <f>IF(L20&gt;=0,"Green",IF(ABS(L20)&lt;='00_Readme'!$B$14,"Amber","Red"))</f>
        <v/>
      </c>
    </row>
    <row r="21">
      <c r="A21" s="27" t="inlineStr">
        <is>
          <t>Jan 2026</t>
        </is>
      </c>
      <c r="B21" s="27" t="inlineStr">
        <is>
          <t>Jawa Barat</t>
        </is>
      </c>
      <c r="C21" s="27" t="inlineStr">
        <is>
          <t>E-commerce</t>
        </is>
      </c>
      <c r="D21" s="27" t="inlineStr">
        <is>
          <t>Personal Care</t>
        </is>
      </c>
      <c r="E21" s="28" t="n">
        <v>612</v>
      </c>
      <c r="F21" s="44" t="n">
        <v>164</v>
      </c>
      <c r="G21" s="38" t="n">
        <v>0.66</v>
      </c>
      <c r="H21" s="38" t="n">
        <v>0.75</v>
      </c>
      <c r="I21" s="38" t="n">
        <v>0.22</v>
      </c>
      <c r="J21" s="44" t="n">
        <v>7</v>
      </c>
      <c r="K21" s="44" t="n">
        <v>36</v>
      </c>
      <c r="L21" s="43" t="n">
        <v>0</v>
      </c>
      <c r="M21" s="13">
        <f>IF(L21&gt;=0,"Green",IF(ABS(L21)&lt;='00_Readme'!$B$14,"Amber","Red"))</f>
        <v/>
      </c>
    </row>
    <row r="22">
      <c r="A22" s="27" t="inlineStr">
        <is>
          <t>Jan 2026</t>
        </is>
      </c>
      <c r="B22" s="27" t="inlineStr">
        <is>
          <t>Jawa Barat</t>
        </is>
      </c>
      <c r="C22" s="27" t="inlineStr">
        <is>
          <t>E-commerce</t>
        </is>
      </c>
      <c r="D22" s="27" t="inlineStr">
        <is>
          <t>Home Care</t>
        </is>
      </c>
      <c r="E22" s="28" t="n">
        <v>650</v>
      </c>
      <c r="F22" s="44" t="n">
        <v>180</v>
      </c>
      <c r="G22" s="38" t="n">
        <v>0.66</v>
      </c>
      <c r="H22" s="38" t="n">
        <v>0.76</v>
      </c>
      <c r="I22" s="38" t="n">
        <v>0.22</v>
      </c>
      <c r="J22" s="44" t="n">
        <v>7</v>
      </c>
      <c r="K22" s="44" t="n">
        <v>42</v>
      </c>
      <c r="L22" s="43" t="n">
        <v>0</v>
      </c>
      <c r="M22" s="13">
        <f>IF(L22&gt;=0,"Green",IF(ABS(L22)&lt;='00_Readme'!$B$14,"Amber","Red"))</f>
        <v/>
      </c>
    </row>
    <row r="23">
      <c r="A23" s="27" t="inlineStr">
        <is>
          <t>Jan 2026</t>
        </is>
      </c>
      <c r="B23" s="27" t="inlineStr">
        <is>
          <t>Jawa Barat</t>
        </is>
      </c>
      <c r="C23" s="27" t="inlineStr">
        <is>
          <t>E-commerce</t>
        </is>
      </c>
      <c r="D23" s="27" t="inlineStr">
        <is>
          <t>Beverages</t>
        </is>
      </c>
      <c r="E23" s="28" t="n">
        <v>688</v>
      </c>
      <c r="F23" s="44" t="n">
        <v>196</v>
      </c>
      <c r="G23" s="38" t="n">
        <v>0.66</v>
      </c>
      <c r="H23" s="38" t="n">
        <v>0.77</v>
      </c>
      <c r="I23" s="38" t="n">
        <v>0.22</v>
      </c>
      <c r="J23" s="44" t="n">
        <v>8</v>
      </c>
      <c r="K23" s="44" t="n">
        <v>49</v>
      </c>
      <c r="L23" s="43" t="n">
        <v>0</v>
      </c>
      <c r="M23" s="13">
        <f>IF(L23&gt;=0,"Green",IF(ABS(L23)&lt;='00_Readme'!$B$14,"Amber","Red"))</f>
        <v/>
      </c>
    </row>
    <row r="24">
      <c r="A24" s="27" t="inlineStr">
        <is>
          <t>Jan 2026</t>
        </is>
      </c>
      <c r="B24" s="27" t="inlineStr">
        <is>
          <t>Jawa Tengah</t>
        </is>
      </c>
      <c r="C24" s="27" t="inlineStr">
        <is>
          <t>General Trade</t>
        </is>
      </c>
      <c r="D24" s="27" t="inlineStr">
        <is>
          <t>Personal Care</t>
        </is>
      </c>
      <c r="E24" s="28" t="n">
        <v>514</v>
      </c>
      <c r="F24" s="44" t="n">
        <v>121</v>
      </c>
      <c r="G24" s="38" t="n">
        <v>0.64</v>
      </c>
      <c r="H24" s="38" t="n">
        <v>0.73</v>
      </c>
      <c r="I24" s="38" t="n">
        <v>0.06</v>
      </c>
      <c r="J24" s="44" t="n">
        <v>3</v>
      </c>
      <c r="K24" s="44" t="n">
        <v>27</v>
      </c>
      <c r="L24" s="43" t="n">
        <v>0</v>
      </c>
      <c r="M24" s="13">
        <f>IF(L24&gt;=0,"Green",IF(ABS(L24)&lt;='00_Readme'!$B$14,"Amber","Red"))</f>
        <v/>
      </c>
    </row>
    <row r="25">
      <c r="A25" s="27" t="inlineStr">
        <is>
          <t>Jan 2026</t>
        </is>
      </c>
      <c r="B25" s="27" t="inlineStr">
        <is>
          <t>Jawa Tengah</t>
        </is>
      </c>
      <c r="C25" s="27" t="inlineStr">
        <is>
          <t>General Trade</t>
        </is>
      </c>
      <c r="D25" s="27" t="inlineStr">
        <is>
          <t>Home Care</t>
        </is>
      </c>
      <c r="E25" s="28" t="n">
        <v>552</v>
      </c>
      <c r="F25" s="44" t="n">
        <v>137</v>
      </c>
      <c r="G25" s="38" t="n">
        <v>0.64</v>
      </c>
      <c r="H25" s="38" t="n">
        <v>0.74</v>
      </c>
      <c r="I25" s="38" t="n">
        <v>0.06</v>
      </c>
      <c r="J25" s="44" t="n">
        <v>3</v>
      </c>
      <c r="K25" s="44" t="n">
        <v>32</v>
      </c>
      <c r="L25" s="43" t="n">
        <v>0</v>
      </c>
      <c r="M25" s="13">
        <f>IF(L25&gt;=0,"Green",IF(ABS(L25)&lt;='00_Readme'!$B$14,"Amber","Red"))</f>
        <v/>
      </c>
    </row>
    <row r="26">
      <c r="A26" s="27" t="inlineStr">
        <is>
          <t>Jan 2026</t>
        </is>
      </c>
      <c r="B26" s="27" t="inlineStr">
        <is>
          <t>Jawa Tengah</t>
        </is>
      </c>
      <c r="C26" s="27" t="inlineStr">
        <is>
          <t>General Trade</t>
        </is>
      </c>
      <c r="D26" s="27" t="inlineStr">
        <is>
          <t>Beverages</t>
        </is>
      </c>
      <c r="E26" s="28" t="n">
        <v>590</v>
      </c>
      <c r="F26" s="44" t="n">
        <v>153</v>
      </c>
      <c r="G26" s="38" t="n">
        <v>0.64</v>
      </c>
      <c r="H26" s="38" t="n">
        <v>0.75</v>
      </c>
      <c r="I26" s="38" t="n">
        <v>0.06</v>
      </c>
      <c r="J26" s="44" t="n">
        <v>4</v>
      </c>
      <c r="K26" s="44" t="n">
        <v>38</v>
      </c>
      <c r="L26" s="43" t="n">
        <v>0</v>
      </c>
      <c r="M26" s="13">
        <f>IF(L26&gt;=0,"Green",IF(ABS(L26)&lt;='00_Readme'!$B$14,"Amber","Red"))</f>
        <v/>
      </c>
    </row>
    <row r="27">
      <c r="A27" s="27" t="inlineStr">
        <is>
          <t>Jan 2026</t>
        </is>
      </c>
      <c r="B27" s="27" t="inlineStr">
        <is>
          <t>Jawa Tengah</t>
        </is>
      </c>
      <c r="C27" s="27" t="inlineStr">
        <is>
          <t>Modern Trade</t>
        </is>
      </c>
      <c r="D27" s="27" t="inlineStr">
        <is>
          <t>Personal Care</t>
        </is>
      </c>
      <c r="E27" s="28" t="n">
        <v>589</v>
      </c>
      <c r="F27" s="44" t="n">
        <v>149</v>
      </c>
      <c r="G27" s="38" t="n">
        <v>0.68</v>
      </c>
      <c r="H27" s="38" t="n">
        <v>0.77</v>
      </c>
      <c r="I27" s="38" t="n">
        <v>0.14</v>
      </c>
      <c r="J27" s="44" t="n">
        <v>5</v>
      </c>
      <c r="K27" s="44" t="n">
        <v>33</v>
      </c>
      <c r="L27" s="43" t="n">
        <v>0</v>
      </c>
      <c r="M27" s="13">
        <f>IF(L27&gt;=0,"Green",IF(ABS(L27)&lt;='00_Readme'!$B$14,"Amber","Red"))</f>
        <v/>
      </c>
    </row>
    <row r="28">
      <c r="A28" s="27" t="inlineStr">
        <is>
          <t>Jan 2026</t>
        </is>
      </c>
      <c r="B28" s="27" t="inlineStr">
        <is>
          <t>Jawa Tengah</t>
        </is>
      </c>
      <c r="C28" s="27" t="inlineStr">
        <is>
          <t>Modern Trade</t>
        </is>
      </c>
      <c r="D28" s="27" t="inlineStr">
        <is>
          <t>Home Care</t>
        </is>
      </c>
      <c r="E28" s="28" t="n">
        <v>627</v>
      </c>
      <c r="F28" s="44" t="n">
        <v>165</v>
      </c>
      <c r="G28" s="38" t="n">
        <v>0.68</v>
      </c>
      <c r="H28" s="38" t="n">
        <v>0.78</v>
      </c>
      <c r="I28" s="38" t="n">
        <v>0.14</v>
      </c>
      <c r="J28" s="44" t="n">
        <v>5</v>
      </c>
      <c r="K28" s="44" t="n">
        <v>39</v>
      </c>
      <c r="L28" s="43" t="n">
        <v>0</v>
      </c>
      <c r="M28" s="13">
        <f>IF(L28&gt;=0,"Green",IF(ABS(L28)&lt;='00_Readme'!$B$14,"Amber","Red"))</f>
        <v/>
      </c>
    </row>
    <row r="29">
      <c r="A29" s="27" t="inlineStr">
        <is>
          <t>Jan 2026</t>
        </is>
      </c>
      <c r="B29" s="27" t="inlineStr">
        <is>
          <t>Jawa Tengah</t>
        </is>
      </c>
      <c r="C29" s="27" t="inlineStr">
        <is>
          <t>Modern Trade</t>
        </is>
      </c>
      <c r="D29" s="27" t="inlineStr">
        <is>
          <t>Beverages</t>
        </is>
      </c>
      <c r="E29" s="28" t="n">
        <v>665</v>
      </c>
      <c r="F29" s="44" t="n">
        <v>181</v>
      </c>
      <c r="G29" s="38" t="n">
        <v>0.68</v>
      </c>
      <c r="H29" s="38" t="n">
        <v>0.79</v>
      </c>
      <c r="I29" s="38" t="n">
        <v>0.14</v>
      </c>
      <c r="J29" s="44" t="n">
        <v>6</v>
      </c>
      <c r="K29" s="44" t="n">
        <v>45</v>
      </c>
      <c r="L29" s="43" t="n">
        <v>0</v>
      </c>
      <c r="M29" s="13">
        <f>IF(L29&gt;=0,"Green",IF(ABS(L29)&lt;='00_Readme'!$B$14,"Amber","Red"))</f>
        <v/>
      </c>
    </row>
    <row r="30">
      <c r="A30" s="27" t="inlineStr">
        <is>
          <t>Jan 2026</t>
        </is>
      </c>
      <c r="B30" s="27" t="inlineStr">
        <is>
          <t>Jawa Tengah</t>
        </is>
      </c>
      <c r="C30" s="27" t="inlineStr">
        <is>
          <t>E-commerce</t>
        </is>
      </c>
      <c r="D30" s="27" t="inlineStr">
        <is>
          <t>Personal Care</t>
        </is>
      </c>
      <c r="E30" s="28" t="n">
        <v>664</v>
      </c>
      <c r="F30" s="44" t="n">
        <v>177</v>
      </c>
      <c r="G30" s="38" t="n">
        <v>0.72</v>
      </c>
      <c r="H30" s="38" t="n">
        <v>0.8099999999999999</v>
      </c>
      <c r="I30" s="38" t="n">
        <v>0.22</v>
      </c>
      <c r="J30" s="44" t="n">
        <v>7</v>
      </c>
      <c r="K30" s="44" t="n">
        <v>39</v>
      </c>
      <c r="L30" s="43" t="n">
        <v>0</v>
      </c>
      <c r="M30" s="13">
        <f>IF(L30&gt;=0,"Green",IF(ABS(L30)&lt;='00_Readme'!$B$14,"Amber","Red"))</f>
        <v/>
      </c>
    </row>
    <row r="31">
      <c r="A31" s="27" t="inlineStr">
        <is>
          <t>Jan 2026</t>
        </is>
      </c>
      <c r="B31" s="27" t="inlineStr">
        <is>
          <t>Jawa Tengah</t>
        </is>
      </c>
      <c r="C31" s="27" t="inlineStr">
        <is>
          <t>E-commerce</t>
        </is>
      </c>
      <c r="D31" s="27" t="inlineStr">
        <is>
          <t>Home Care</t>
        </is>
      </c>
      <c r="E31" s="28" t="n">
        <v>702</v>
      </c>
      <c r="F31" s="44" t="n">
        <v>193</v>
      </c>
      <c r="G31" s="38" t="n">
        <v>0.72</v>
      </c>
      <c r="H31" s="38" t="n">
        <v>0.82</v>
      </c>
      <c r="I31" s="38" t="n">
        <v>0.22</v>
      </c>
      <c r="J31" s="44" t="n">
        <v>8</v>
      </c>
      <c r="K31" s="44" t="n">
        <v>45</v>
      </c>
      <c r="L31" s="43" t="n">
        <v>0</v>
      </c>
      <c r="M31" s="13">
        <f>IF(L31&gt;=0,"Green",IF(ABS(L31)&lt;='00_Readme'!$B$14,"Amber","Red"))</f>
        <v/>
      </c>
    </row>
    <row r="32">
      <c r="A32" s="27" t="inlineStr">
        <is>
          <t>Jan 2026</t>
        </is>
      </c>
      <c r="B32" s="27" t="inlineStr">
        <is>
          <t>Jawa Tengah</t>
        </is>
      </c>
      <c r="C32" s="27" t="inlineStr">
        <is>
          <t>E-commerce</t>
        </is>
      </c>
      <c r="D32" s="27" t="inlineStr">
        <is>
          <t>Beverages</t>
        </is>
      </c>
      <c r="E32" s="28" t="n">
        <v>740</v>
      </c>
      <c r="F32" s="44" t="n">
        <v>209</v>
      </c>
      <c r="G32" s="38" t="n">
        <v>0.72</v>
      </c>
      <c r="H32" s="38" t="n">
        <v>0.83</v>
      </c>
      <c r="I32" s="38" t="n">
        <v>0.22</v>
      </c>
      <c r="J32" s="44" t="n">
        <v>9</v>
      </c>
      <c r="K32" s="44" t="n">
        <v>52</v>
      </c>
      <c r="L32" s="43" t="n">
        <v>0</v>
      </c>
      <c r="M32" s="13">
        <f>IF(L32&gt;=0,"Green",IF(ABS(L32)&lt;='00_Readme'!$B$14,"Amber","Red"))</f>
        <v/>
      </c>
    </row>
    <row r="33">
      <c r="A33" s="27" t="inlineStr">
        <is>
          <t>Jan 2026</t>
        </is>
      </c>
      <c r="B33" s="27" t="inlineStr">
        <is>
          <t>Jawa Timur</t>
        </is>
      </c>
      <c r="C33" s="27" t="inlineStr">
        <is>
          <t>General Trade</t>
        </is>
      </c>
      <c r="D33" s="27" t="inlineStr">
        <is>
          <t>Personal Care</t>
        </is>
      </c>
      <c r="E33" s="28" t="n">
        <v>566</v>
      </c>
      <c r="F33" s="44" t="n">
        <v>134</v>
      </c>
      <c r="G33" s="38" t="n">
        <v>0.7</v>
      </c>
      <c r="H33" s="38" t="n">
        <v>0.7899999999999999</v>
      </c>
      <c r="I33" s="38" t="n">
        <v>0.06</v>
      </c>
      <c r="J33" s="44" t="n">
        <v>3</v>
      </c>
      <c r="K33" s="44" t="n">
        <v>29</v>
      </c>
      <c r="L33" s="43" t="n">
        <v>0</v>
      </c>
      <c r="M33" s="13">
        <f>IF(L33&gt;=0,"Green",IF(ABS(L33)&lt;='00_Readme'!$B$14,"Amber","Red"))</f>
        <v/>
      </c>
    </row>
    <row r="34">
      <c r="A34" s="27" t="inlineStr">
        <is>
          <t>Jan 2026</t>
        </is>
      </c>
      <c r="B34" s="27" t="inlineStr">
        <is>
          <t>Jawa Timur</t>
        </is>
      </c>
      <c r="C34" s="27" t="inlineStr">
        <is>
          <t>General Trade</t>
        </is>
      </c>
      <c r="D34" s="27" t="inlineStr">
        <is>
          <t>Home Care</t>
        </is>
      </c>
      <c r="E34" s="28" t="n">
        <v>604</v>
      </c>
      <c r="F34" s="44" t="n">
        <v>150</v>
      </c>
      <c r="G34" s="38" t="n">
        <v>0.7</v>
      </c>
      <c r="H34" s="38" t="n">
        <v>0.7999999999999999</v>
      </c>
      <c r="I34" s="38" t="n">
        <v>0.06</v>
      </c>
      <c r="J34" s="44" t="n">
        <v>4</v>
      </c>
      <c r="K34" s="44" t="n">
        <v>35</v>
      </c>
      <c r="L34" s="43" t="n">
        <v>0</v>
      </c>
      <c r="M34" s="13">
        <f>IF(L34&gt;=0,"Green",IF(ABS(L34)&lt;='00_Readme'!$B$14,"Amber","Red"))</f>
        <v/>
      </c>
    </row>
    <row r="35">
      <c r="A35" s="27" t="inlineStr">
        <is>
          <t>Jan 2026</t>
        </is>
      </c>
      <c r="B35" s="27" t="inlineStr">
        <is>
          <t>Jawa Timur</t>
        </is>
      </c>
      <c r="C35" s="27" t="inlineStr">
        <is>
          <t>General Trade</t>
        </is>
      </c>
      <c r="D35" s="27" t="inlineStr">
        <is>
          <t>Beverages</t>
        </is>
      </c>
      <c r="E35" s="28" t="n">
        <v>642</v>
      </c>
      <c r="F35" s="44" t="n">
        <v>166</v>
      </c>
      <c r="G35" s="38" t="n">
        <v>0.7</v>
      </c>
      <c r="H35" s="38" t="n">
        <v>0.8099999999999999</v>
      </c>
      <c r="I35" s="38" t="n">
        <v>0.06</v>
      </c>
      <c r="J35" s="44" t="n">
        <v>4</v>
      </c>
      <c r="K35" s="44" t="n">
        <v>42</v>
      </c>
      <c r="L35" s="43" t="n">
        <v>0</v>
      </c>
      <c r="M35" s="13">
        <f>IF(L35&gt;=0,"Green",IF(ABS(L35)&lt;='00_Readme'!$B$14,"Amber","Red"))</f>
        <v/>
      </c>
    </row>
    <row r="36">
      <c r="A36" s="27" t="inlineStr">
        <is>
          <t>Jan 2026</t>
        </is>
      </c>
      <c r="B36" s="27" t="inlineStr">
        <is>
          <t>Jawa Timur</t>
        </is>
      </c>
      <c r="C36" s="27" t="inlineStr">
        <is>
          <t>Modern Trade</t>
        </is>
      </c>
      <c r="D36" s="27" t="inlineStr">
        <is>
          <t>Personal Care</t>
        </is>
      </c>
      <c r="E36" s="28" t="n">
        <v>641</v>
      </c>
      <c r="F36" s="44" t="n">
        <v>162</v>
      </c>
      <c r="G36" s="38" t="n">
        <v>0.74</v>
      </c>
      <c r="H36" s="38" t="n">
        <v>0.83</v>
      </c>
      <c r="I36" s="38" t="n">
        <v>0.14</v>
      </c>
      <c r="J36" s="44" t="n">
        <v>5</v>
      </c>
      <c r="K36" s="44" t="n">
        <v>36</v>
      </c>
      <c r="L36" s="43" t="n">
        <v>0</v>
      </c>
      <c r="M36" s="13">
        <f>IF(L36&gt;=0,"Green",IF(ABS(L36)&lt;='00_Readme'!$B$14,"Amber","Red"))</f>
        <v/>
      </c>
    </row>
    <row r="37">
      <c r="A37" s="27" t="inlineStr">
        <is>
          <t>Jan 2026</t>
        </is>
      </c>
      <c r="B37" s="27" t="inlineStr">
        <is>
          <t>Jawa Timur</t>
        </is>
      </c>
      <c r="C37" s="27" t="inlineStr">
        <is>
          <t>Modern Trade</t>
        </is>
      </c>
      <c r="D37" s="27" t="inlineStr">
        <is>
          <t>Home Care</t>
        </is>
      </c>
      <c r="E37" s="28" t="n">
        <v>679</v>
      </c>
      <c r="F37" s="44" t="n">
        <v>178</v>
      </c>
      <c r="G37" s="38" t="n">
        <v>0.74</v>
      </c>
      <c r="H37" s="38" t="n">
        <v>0.84</v>
      </c>
      <c r="I37" s="38" t="n">
        <v>0.14</v>
      </c>
      <c r="J37" s="44" t="n">
        <v>6</v>
      </c>
      <c r="K37" s="44" t="n">
        <v>42</v>
      </c>
      <c r="L37" s="43" t="n">
        <v>0</v>
      </c>
      <c r="M37" s="13">
        <f>IF(L37&gt;=0,"Green",IF(ABS(L37)&lt;='00_Readme'!$B$14,"Amber","Red"))</f>
        <v/>
      </c>
    </row>
    <row r="38">
      <c r="A38" s="27" t="inlineStr">
        <is>
          <t>Jan 2026</t>
        </is>
      </c>
      <c r="B38" s="27" t="inlineStr">
        <is>
          <t>Jawa Timur</t>
        </is>
      </c>
      <c r="C38" s="27" t="inlineStr">
        <is>
          <t>Modern Trade</t>
        </is>
      </c>
      <c r="D38" s="27" t="inlineStr">
        <is>
          <t>Beverages</t>
        </is>
      </c>
      <c r="E38" s="28" t="n">
        <v>717</v>
      </c>
      <c r="F38" s="44" t="n">
        <v>194</v>
      </c>
      <c r="G38" s="38" t="n">
        <v>0.74</v>
      </c>
      <c r="H38" s="38" t="n">
        <v>0.85</v>
      </c>
      <c r="I38" s="38" t="n">
        <v>0.14</v>
      </c>
      <c r="J38" s="44" t="n">
        <v>6</v>
      </c>
      <c r="K38" s="44" t="n">
        <v>48</v>
      </c>
      <c r="L38" s="43" t="n">
        <v>0</v>
      </c>
      <c r="M38" s="13">
        <f>IF(L38&gt;=0,"Green",IF(ABS(L38)&lt;='00_Readme'!$B$14,"Amber","Red"))</f>
        <v/>
      </c>
    </row>
    <row r="39">
      <c r="A39" s="27" t="inlineStr">
        <is>
          <t>Jan 2026</t>
        </is>
      </c>
      <c r="B39" s="27" t="inlineStr">
        <is>
          <t>Jawa Timur</t>
        </is>
      </c>
      <c r="C39" s="27" t="inlineStr">
        <is>
          <t>E-commerce</t>
        </is>
      </c>
      <c r="D39" s="27" t="inlineStr">
        <is>
          <t>Personal Care</t>
        </is>
      </c>
      <c r="E39" s="28" t="n">
        <v>716</v>
      </c>
      <c r="F39" s="44" t="n">
        <v>190</v>
      </c>
      <c r="G39" s="38" t="n">
        <v>0.7799999999999999</v>
      </c>
      <c r="H39" s="38" t="n">
        <v>0.8699999999999999</v>
      </c>
      <c r="I39" s="38" t="n">
        <v>0.22</v>
      </c>
      <c r="J39" s="44" t="n">
        <v>8</v>
      </c>
      <c r="K39" s="44" t="n">
        <v>42</v>
      </c>
      <c r="L39" s="43" t="n">
        <v>0</v>
      </c>
      <c r="M39" s="13">
        <f>IF(L39&gt;=0,"Green",IF(ABS(L39)&lt;='00_Readme'!$B$14,"Amber","Red"))</f>
        <v/>
      </c>
    </row>
    <row r="40">
      <c r="A40" s="27" t="inlineStr">
        <is>
          <t>Jan 2026</t>
        </is>
      </c>
      <c r="B40" s="27" t="inlineStr">
        <is>
          <t>Jawa Timur</t>
        </is>
      </c>
      <c r="C40" s="27" t="inlineStr">
        <is>
          <t>E-commerce</t>
        </is>
      </c>
      <c r="D40" s="27" t="inlineStr">
        <is>
          <t>Home Care</t>
        </is>
      </c>
      <c r="E40" s="28" t="n">
        <v>754</v>
      </c>
      <c r="F40" s="44" t="n">
        <v>206</v>
      </c>
      <c r="G40" s="38" t="n">
        <v>0.7799999999999999</v>
      </c>
      <c r="H40" s="38" t="n">
        <v>0.8799999999999999</v>
      </c>
      <c r="I40" s="38" t="n">
        <v>0.22</v>
      </c>
      <c r="J40" s="44" t="n">
        <v>8</v>
      </c>
      <c r="K40" s="44" t="n">
        <v>48</v>
      </c>
      <c r="L40" s="43" t="n">
        <v>0</v>
      </c>
      <c r="M40" s="13">
        <f>IF(L40&gt;=0,"Green",IF(ABS(L40)&lt;='00_Readme'!$B$14,"Amber","Red"))</f>
        <v/>
      </c>
    </row>
    <row r="41">
      <c r="A41" s="27" t="inlineStr">
        <is>
          <t>Jan 2026</t>
        </is>
      </c>
      <c r="B41" s="27" t="inlineStr">
        <is>
          <t>Jawa Timur</t>
        </is>
      </c>
      <c r="C41" s="27" t="inlineStr">
        <is>
          <t>E-commerce</t>
        </is>
      </c>
      <c r="D41" s="27" t="inlineStr">
        <is>
          <t>Beverages</t>
        </is>
      </c>
      <c r="E41" s="28" t="n">
        <v>792</v>
      </c>
      <c r="F41" s="44" t="n">
        <v>222</v>
      </c>
      <c r="G41" s="38" t="n">
        <v>0.7799999999999999</v>
      </c>
      <c r="H41" s="38" t="n">
        <v>0.8899999999999999</v>
      </c>
      <c r="I41" s="38" t="n">
        <v>0.22</v>
      </c>
      <c r="J41" s="44" t="n">
        <v>9</v>
      </c>
      <c r="K41" s="44" t="n">
        <v>56</v>
      </c>
      <c r="L41" s="43" t="n">
        <v>0</v>
      </c>
      <c r="M41" s="13">
        <f>IF(L41&gt;=0,"Green",IF(ABS(L41)&lt;='00_Readme'!$B$14,"Amber","Red"))</f>
        <v/>
      </c>
    </row>
    <row r="42">
      <c r="A42" s="27" t="inlineStr">
        <is>
          <t>Feb 2026</t>
        </is>
      </c>
      <c r="B42" s="27" t="inlineStr">
        <is>
          <t>Jabodetabek</t>
        </is>
      </c>
      <c r="C42" s="27" t="inlineStr">
        <is>
          <t>General Trade</t>
        </is>
      </c>
      <c r="D42" s="27" t="inlineStr">
        <is>
          <t>Personal Care</t>
        </is>
      </c>
      <c r="E42" s="28" t="n">
        <v>448</v>
      </c>
      <c r="F42" s="44" t="n">
        <v>107</v>
      </c>
      <c r="G42" s="38" t="n">
        <v>0.53</v>
      </c>
      <c r="H42" s="38" t="n">
        <v>0.62</v>
      </c>
      <c r="I42" s="38" t="n">
        <v>0.06999999999999999</v>
      </c>
      <c r="J42" s="44" t="n">
        <v>3</v>
      </c>
      <c r="K42" s="44" t="n">
        <v>24</v>
      </c>
      <c r="L42" s="43">
        <f>IFERROR(F42/F6-1,0)</f>
        <v/>
      </c>
      <c r="M42" s="13">
        <f>IF(L42&gt;=0,"Green",IF(ABS(L42)&lt;='00_Readme'!$B$14,"Amber","Red"))</f>
        <v/>
      </c>
    </row>
    <row r="43">
      <c r="A43" s="27" t="inlineStr">
        <is>
          <t>Feb 2026</t>
        </is>
      </c>
      <c r="B43" s="27" t="inlineStr">
        <is>
          <t>Jabodetabek</t>
        </is>
      </c>
      <c r="C43" s="27" t="inlineStr">
        <is>
          <t>General Trade</t>
        </is>
      </c>
      <c r="D43" s="27" t="inlineStr">
        <is>
          <t>Home Care</t>
        </is>
      </c>
      <c r="E43" s="28" t="n">
        <v>486</v>
      </c>
      <c r="F43" s="44" t="n">
        <v>123</v>
      </c>
      <c r="G43" s="38" t="n">
        <v>0.53</v>
      </c>
      <c r="H43" s="38" t="n">
        <v>0.63</v>
      </c>
      <c r="I43" s="38" t="n">
        <v>0.06999999999999999</v>
      </c>
      <c r="J43" s="44" t="n">
        <v>3</v>
      </c>
      <c r="K43" s="44" t="n">
        <v>29</v>
      </c>
      <c r="L43" s="43">
        <f>IFERROR(F43/F7-1,0)</f>
        <v/>
      </c>
      <c r="M43" s="13">
        <f>IF(L43&gt;=0,"Green",IF(ABS(L43)&lt;='00_Readme'!$B$14,"Amber","Red"))</f>
        <v/>
      </c>
    </row>
    <row r="44">
      <c r="A44" s="27" t="inlineStr">
        <is>
          <t>Feb 2026</t>
        </is>
      </c>
      <c r="B44" s="27" t="inlineStr">
        <is>
          <t>Jabodetabek</t>
        </is>
      </c>
      <c r="C44" s="27" t="inlineStr">
        <is>
          <t>General Trade</t>
        </is>
      </c>
      <c r="D44" s="27" t="inlineStr">
        <is>
          <t>Beverages</t>
        </is>
      </c>
      <c r="E44" s="28" t="n">
        <v>524</v>
      </c>
      <c r="F44" s="44" t="n">
        <v>139</v>
      </c>
      <c r="G44" s="38" t="n">
        <v>0.53</v>
      </c>
      <c r="H44" s="38" t="n">
        <v>0.64</v>
      </c>
      <c r="I44" s="38" t="n">
        <v>0.06999999999999999</v>
      </c>
      <c r="J44" s="44" t="n">
        <v>3</v>
      </c>
      <c r="K44" s="44" t="n">
        <v>35</v>
      </c>
      <c r="L44" s="43">
        <f>IFERROR(F44/F8-1,0)</f>
        <v/>
      </c>
      <c r="M44" s="13">
        <f>IF(L44&gt;=0,"Green",IF(ABS(L44)&lt;='00_Readme'!$B$14,"Amber","Red"))</f>
        <v/>
      </c>
    </row>
    <row r="45">
      <c r="A45" s="27" t="inlineStr">
        <is>
          <t>Feb 2026</t>
        </is>
      </c>
      <c r="B45" s="27" t="inlineStr">
        <is>
          <t>Jabodetabek</t>
        </is>
      </c>
      <c r="C45" s="27" t="inlineStr">
        <is>
          <t>Modern Trade</t>
        </is>
      </c>
      <c r="D45" s="27" t="inlineStr">
        <is>
          <t>Personal Care</t>
        </is>
      </c>
      <c r="E45" s="28" t="n">
        <v>523</v>
      </c>
      <c r="F45" s="44" t="n">
        <v>135</v>
      </c>
      <c r="G45" s="38" t="n">
        <v>0.5700000000000001</v>
      </c>
      <c r="H45" s="38" t="n">
        <v>0.66</v>
      </c>
      <c r="I45" s="38" t="n">
        <v>0.15</v>
      </c>
      <c r="J45" s="44" t="n">
        <v>4</v>
      </c>
      <c r="K45" s="44" t="n">
        <v>30</v>
      </c>
      <c r="L45" s="43">
        <f>IFERROR(F45/F9-1,0)</f>
        <v/>
      </c>
      <c r="M45" s="13">
        <f>IF(L45&gt;=0,"Green",IF(ABS(L45)&lt;='00_Readme'!$B$14,"Amber","Red"))</f>
        <v/>
      </c>
    </row>
    <row r="46">
      <c r="A46" s="27" t="inlineStr">
        <is>
          <t>Feb 2026</t>
        </is>
      </c>
      <c r="B46" s="27" t="inlineStr">
        <is>
          <t>Jabodetabek</t>
        </is>
      </c>
      <c r="C46" s="27" t="inlineStr">
        <is>
          <t>Modern Trade</t>
        </is>
      </c>
      <c r="D46" s="27" t="inlineStr">
        <is>
          <t>Home Care</t>
        </is>
      </c>
      <c r="E46" s="28" t="n">
        <v>561</v>
      </c>
      <c r="F46" s="44" t="n">
        <v>151</v>
      </c>
      <c r="G46" s="38" t="n">
        <v>0.5700000000000001</v>
      </c>
      <c r="H46" s="38" t="n">
        <v>0.67</v>
      </c>
      <c r="I46" s="38" t="n">
        <v>0.15</v>
      </c>
      <c r="J46" s="44" t="n">
        <v>5</v>
      </c>
      <c r="K46" s="44" t="n">
        <v>35</v>
      </c>
      <c r="L46" s="43">
        <f>IFERROR(F46/F10-1,0)</f>
        <v/>
      </c>
      <c r="M46" s="13">
        <f>IF(L46&gt;=0,"Green",IF(ABS(L46)&lt;='00_Readme'!$B$14,"Amber","Red"))</f>
        <v/>
      </c>
    </row>
    <row r="47">
      <c r="A47" s="27" t="inlineStr">
        <is>
          <t>Feb 2026</t>
        </is>
      </c>
      <c r="B47" s="27" t="inlineStr">
        <is>
          <t>Jabodetabek</t>
        </is>
      </c>
      <c r="C47" s="27" t="inlineStr">
        <is>
          <t>Modern Trade</t>
        </is>
      </c>
      <c r="D47" s="27" t="inlineStr">
        <is>
          <t>Beverages</t>
        </is>
      </c>
      <c r="E47" s="28" t="n">
        <v>599</v>
      </c>
      <c r="F47" s="44" t="n">
        <v>167</v>
      </c>
      <c r="G47" s="38" t="n">
        <v>0.5700000000000001</v>
      </c>
      <c r="H47" s="38" t="n">
        <v>0.68</v>
      </c>
      <c r="I47" s="38" t="n">
        <v>0.15</v>
      </c>
      <c r="J47" s="44" t="n">
        <v>6</v>
      </c>
      <c r="K47" s="44" t="n">
        <v>42</v>
      </c>
      <c r="L47" s="43">
        <f>IFERROR(F47/F11-1,0)</f>
        <v/>
      </c>
      <c r="M47" s="13">
        <f>IF(L47&gt;=0,"Green",IF(ABS(L47)&lt;='00_Readme'!$B$14,"Amber","Red"))</f>
        <v/>
      </c>
    </row>
    <row r="48">
      <c r="A48" s="27" t="inlineStr">
        <is>
          <t>Feb 2026</t>
        </is>
      </c>
      <c r="B48" s="27" t="inlineStr">
        <is>
          <t>Jabodetabek</t>
        </is>
      </c>
      <c r="C48" s="27" t="inlineStr">
        <is>
          <t>E-commerce</t>
        </is>
      </c>
      <c r="D48" s="27" t="inlineStr">
        <is>
          <t>Personal Care</t>
        </is>
      </c>
      <c r="E48" s="28" t="n">
        <v>598</v>
      </c>
      <c r="F48" s="44" t="n">
        <v>163</v>
      </c>
      <c r="G48" s="38" t="n">
        <v>0.61</v>
      </c>
      <c r="H48" s="38" t="n">
        <v>0.7</v>
      </c>
      <c r="I48" s="38" t="n">
        <v>0.23</v>
      </c>
      <c r="J48" s="44" t="n">
        <v>7</v>
      </c>
      <c r="K48" s="44" t="n">
        <v>36</v>
      </c>
      <c r="L48" s="43">
        <f>IFERROR(F48/F12-1,0)</f>
        <v/>
      </c>
      <c r="M48" s="13">
        <f>IF(L48&gt;=0,"Green",IF(ABS(L48)&lt;='00_Readme'!$B$14,"Amber","Red"))</f>
        <v/>
      </c>
    </row>
    <row r="49">
      <c r="A49" s="27" t="inlineStr">
        <is>
          <t>Feb 2026</t>
        </is>
      </c>
      <c r="B49" s="27" t="inlineStr">
        <is>
          <t>Jabodetabek</t>
        </is>
      </c>
      <c r="C49" s="27" t="inlineStr">
        <is>
          <t>E-commerce</t>
        </is>
      </c>
      <c r="D49" s="27" t="inlineStr">
        <is>
          <t>Home Care</t>
        </is>
      </c>
      <c r="E49" s="28" t="n">
        <v>636</v>
      </c>
      <c r="F49" s="44" t="n">
        <v>179</v>
      </c>
      <c r="G49" s="38" t="n">
        <v>0.61</v>
      </c>
      <c r="H49" s="38" t="n">
        <v>0.71</v>
      </c>
      <c r="I49" s="38" t="n">
        <v>0.23</v>
      </c>
      <c r="J49" s="44" t="n">
        <v>7</v>
      </c>
      <c r="K49" s="44" t="n">
        <v>42</v>
      </c>
      <c r="L49" s="43">
        <f>IFERROR(F49/F13-1,0)</f>
        <v/>
      </c>
      <c r="M49" s="13">
        <f>IF(L49&gt;=0,"Green",IF(ABS(L49)&lt;='00_Readme'!$B$14,"Amber","Red"))</f>
        <v/>
      </c>
    </row>
    <row r="50">
      <c r="A50" s="27" t="inlineStr">
        <is>
          <t>Feb 2026</t>
        </is>
      </c>
      <c r="B50" s="27" t="inlineStr">
        <is>
          <t>Jabodetabek</t>
        </is>
      </c>
      <c r="C50" s="27" t="inlineStr">
        <is>
          <t>E-commerce</t>
        </is>
      </c>
      <c r="D50" s="27" t="inlineStr">
        <is>
          <t>Beverages</t>
        </is>
      </c>
      <c r="E50" s="28" t="n">
        <v>674</v>
      </c>
      <c r="F50" s="44" t="n">
        <v>195</v>
      </c>
      <c r="G50" s="38" t="n">
        <v>0.61</v>
      </c>
      <c r="H50" s="38" t="n">
        <v>0.72</v>
      </c>
      <c r="I50" s="38" t="n">
        <v>0.23</v>
      </c>
      <c r="J50" s="44" t="n">
        <v>8</v>
      </c>
      <c r="K50" s="44" t="n">
        <v>49</v>
      </c>
      <c r="L50" s="43">
        <f>IFERROR(F50/F14-1,0)</f>
        <v/>
      </c>
      <c r="M50" s="13">
        <f>IF(L50&gt;=0,"Green",IF(ABS(L50)&lt;='00_Readme'!$B$14,"Amber","Red"))</f>
        <v/>
      </c>
    </row>
    <row r="51">
      <c r="A51" s="27" t="inlineStr">
        <is>
          <t>Feb 2026</t>
        </is>
      </c>
      <c r="B51" s="27" t="inlineStr">
        <is>
          <t>Jawa Barat</t>
        </is>
      </c>
      <c r="C51" s="27" t="inlineStr">
        <is>
          <t>General Trade</t>
        </is>
      </c>
      <c r="D51" s="27" t="inlineStr">
        <is>
          <t>Personal Care</t>
        </is>
      </c>
      <c r="E51" s="28" t="n">
        <v>500</v>
      </c>
      <c r="F51" s="44" t="n">
        <v>120</v>
      </c>
      <c r="G51" s="38" t="n">
        <v>0.5900000000000001</v>
      </c>
      <c r="H51" s="38" t="n">
        <v>0.68</v>
      </c>
      <c r="I51" s="38" t="n">
        <v>0.06999999999999999</v>
      </c>
      <c r="J51" s="44" t="n">
        <v>3</v>
      </c>
      <c r="K51" s="44" t="n">
        <v>26</v>
      </c>
      <c r="L51" s="43">
        <f>IFERROR(F51/F15-1,0)</f>
        <v/>
      </c>
      <c r="M51" s="13">
        <f>IF(L51&gt;=0,"Green",IF(ABS(L51)&lt;='00_Readme'!$B$14,"Amber","Red"))</f>
        <v/>
      </c>
    </row>
    <row r="52">
      <c r="A52" s="27" t="inlineStr">
        <is>
          <t>Feb 2026</t>
        </is>
      </c>
      <c r="B52" s="27" t="inlineStr">
        <is>
          <t>Jawa Barat</t>
        </is>
      </c>
      <c r="C52" s="27" t="inlineStr">
        <is>
          <t>General Trade</t>
        </is>
      </c>
      <c r="D52" s="27" t="inlineStr">
        <is>
          <t>Home Care</t>
        </is>
      </c>
      <c r="E52" s="28" t="n">
        <v>538</v>
      </c>
      <c r="F52" s="44" t="n">
        <v>136</v>
      </c>
      <c r="G52" s="38" t="n">
        <v>0.5900000000000001</v>
      </c>
      <c r="H52" s="38" t="n">
        <v>0.6900000000000001</v>
      </c>
      <c r="I52" s="38" t="n">
        <v>0.06999999999999999</v>
      </c>
      <c r="J52" s="44" t="n">
        <v>3</v>
      </c>
      <c r="K52" s="44" t="n">
        <v>32</v>
      </c>
      <c r="L52" s="43">
        <f>IFERROR(F52/F16-1,0)</f>
        <v/>
      </c>
      <c r="M52" s="13">
        <f>IF(L52&gt;=0,"Green",IF(ABS(L52)&lt;='00_Readme'!$B$14,"Amber","Red"))</f>
        <v/>
      </c>
    </row>
    <row r="53">
      <c r="A53" s="27" t="inlineStr">
        <is>
          <t>Feb 2026</t>
        </is>
      </c>
      <c r="B53" s="27" t="inlineStr">
        <is>
          <t>Jawa Barat</t>
        </is>
      </c>
      <c r="C53" s="27" t="inlineStr">
        <is>
          <t>General Trade</t>
        </is>
      </c>
      <c r="D53" s="27" t="inlineStr">
        <is>
          <t>Beverages</t>
        </is>
      </c>
      <c r="E53" s="28" t="n">
        <v>576</v>
      </c>
      <c r="F53" s="44" t="n">
        <v>152</v>
      </c>
      <c r="G53" s="38" t="n">
        <v>0.5900000000000001</v>
      </c>
      <c r="H53" s="38" t="n">
        <v>0.7000000000000001</v>
      </c>
      <c r="I53" s="38" t="n">
        <v>0.06999999999999999</v>
      </c>
      <c r="J53" s="44" t="n">
        <v>4</v>
      </c>
      <c r="K53" s="44" t="n">
        <v>38</v>
      </c>
      <c r="L53" s="43">
        <f>IFERROR(F53/F17-1,0)</f>
        <v/>
      </c>
      <c r="M53" s="13">
        <f>IF(L53&gt;=0,"Green",IF(ABS(L53)&lt;='00_Readme'!$B$14,"Amber","Red"))</f>
        <v/>
      </c>
    </row>
    <row r="54">
      <c r="A54" s="27" t="inlineStr">
        <is>
          <t>Feb 2026</t>
        </is>
      </c>
      <c r="B54" s="27" t="inlineStr">
        <is>
          <t>Jawa Barat</t>
        </is>
      </c>
      <c r="C54" s="27" t="inlineStr">
        <is>
          <t>Modern Trade</t>
        </is>
      </c>
      <c r="D54" s="27" t="inlineStr">
        <is>
          <t>Personal Care</t>
        </is>
      </c>
      <c r="E54" s="28" t="n">
        <v>575</v>
      </c>
      <c r="F54" s="44" t="n">
        <v>148</v>
      </c>
      <c r="G54" s="38" t="n">
        <v>0.6300000000000001</v>
      </c>
      <c r="H54" s="38" t="n">
        <v>0.7200000000000001</v>
      </c>
      <c r="I54" s="38" t="n">
        <v>0.15</v>
      </c>
      <c r="J54" s="44" t="n">
        <v>5</v>
      </c>
      <c r="K54" s="44" t="n">
        <v>33</v>
      </c>
      <c r="L54" s="43">
        <f>IFERROR(F54/F18-1,0)</f>
        <v/>
      </c>
      <c r="M54" s="13">
        <f>IF(L54&gt;=0,"Green",IF(ABS(L54)&lt;='00_Readme'!$B$14,"Amber","Red"))</f>
        <v/>
      </c>
    </row>
    <row r="55">
      <c r="A55" s="27" t="inlineStr">
        <is>
          <t>Feb 2026</t>
        </is>
      </c>
      <c r="B55" s="27" t="inlineStr">
        <is>
          <t>Jawa Barat</t>
        </is>
      </c>
      <c r="C55" s="27" t="inlineStr">
        <is>
          <t>Modern Trade</t>
        </is>
      </c>
      <c r="D55" s="27" t="inlineStr">
        <is>
          <t>Home Care</t>
        </is>
      </c>
      <c r="E55" s="28" t="n">
        <v>613</v>
      </c>
      <c r="F55" s="44" t="n">
        <v>164</v>
      </c>
      <c r="G55" s="38" t="n">
        <v>0.6300000000000001</v>
      </c>
      <c r="H55" s="38" t="n">
        <v>0.7300000000000001</v>
      </c>
      <c r="I55" s="38" t="n">
        <v>0.15</v>
      </c>
      <c r="J55" s="44" t="n">
        <v>5</v>
      </c>
      <c r="K55" s="44" t="n">
        <v>39</v>
      </c>
      <c r="L55" s="43">
        <f>IFERROR(F55/F19-1,0)</f>
        <v/>
      </c>
      <c r="M55" s="13">
        <f>IF(L55&gt;=0,"Green",IF(ABS(L55)&lt;='00_Readme'!$B$14,"Amber","Red"))</f>
        <v/>
      </c>
    </row>
    <row r="56">
      <c r="A56" s="27" t="inlineStr">
        <is>
          <t>Feb 2026</t>
        </is>
      </c>
      <c r="B56" s="27" t="inlineStr">
        <is>
          <t>Jawa Barat</t>
        </is>
      </c>
      <c r="C56" s="27" t="inlineStr">
        <is>
          <t>Modern Trade</t>
        </is>
      </c>
      <c r="D56" s="27" t="inlineStr">
        <is>
          <t>Beverages</t>
        </is>
      </c>
      <c r="E56" s="28" t="n">
        <v>651</v>
      </c>
      <c r="F56" s="44" t="n">
        <v>180</v>
      </c>
      <c r="G56" s="38" t="n">
        <v>0.6300000000000001</v>
      </c>
      <c r="H56" s="38" t="n">
        <v>0.7400000000000001</v>
      </c>
      <c r="I56" s="38" t="n">
        <v>0.15</v>
      </c>
      <c r="J56" s="44" t="n">
        <v>6</v>
      </c>
      <c r="K56" s="44" t="n">
        <v>45</v>
      </c>
      <c r="L56" s="43">
        <f>IFERROR(F56/F20-1,0)</f>
        <v/>
      </c>
      <c r="M56" s="13">
        <f>IF(L56&gt;=0,"Green",IF(ABS(L56)&lt;='00_Readme'!$B$14,"Amber","Red"))</f>
        <v/>
      </c>
    </row>
    <row r="57">
      <c r="A57" s="27" t="inlineStr">
        <is>
          <t>Feb 2026</t>
        </is>
      </c>
      <c r="B57" s="27" t="inlineStr">
        <is>
          <t>Jawa Barat</t>
        </is>
      </c>
      <c r="C57" s="27" t="inlineStr">
        <is>
          <t>E-commerce</t>
        </is>
      </c>
      <c r="D57" s="27" t="inlineStr">
        <is>
          <t>Personal Care</t>
        </is>
      </c>
      <c r="E57" s="28" t="n">
        <v>650</v>
      </c>
      <c r="F57" s="44" t="n">
        <v>176</v>
      </c>
      <c r="G57" s="38" t="n">
        <v>0.67</v>
      </c>
      <c r="H57" s="38" t="n">
        <v>0.76</v>
      </c>
      <c r="I57" s="38" t="n">
        <v>0.23</v>
      </c>
      <c r="J57" s="44" t="n">
        <v>7</v>
      </c>
      <c r="K57" s="44" t="n">
        <v>39</v>
      </c>
      <c r="L57" s="43">
        <f>IFERROR(F57/F21-1,0)</f>
        <v/>
      </c>
      <c r="M57" s="13">
        <f>IF(L57&gt;=0,"Green",IF(ABS(L57)&lt;='00_Readme'!$B$14,"Amber","Red"))</f>
        <v/>
      </c>
    </row>
    <row r="58">
      <c r="A58" s="27" t="inlineStr">
        <is>
          <t>Feb 2026</t>
        </is>
      </c>
      <c r="B58" s="27" t="inlineStr">
        <is>
          <t>Jawa Barat</t>
        </is>
      </c>
      <c r="C58" s="27" t="inlineStr">
        <is>
          <t>E-commerce</t>
        </is>
      </c>
      <c r="D58" s="27" t="inlineStr">
        <is>
          <t>Home Care</t>
        </is>
      </c>
      <c r="E58" s="28" t="n">
        <v>688</v>
      </c>
      <c r="F58" s="44" t="n">
        <v>192</v>
      </c>
      <c r="G58" s="38" t="n">
        <v>0.67</v>
      </c>
      <c r="H58" s="38" t="n">
        <v>0.77</v>
      </c>
      <c r="I58" s="38" t="n">
        <v>0.23</v>
      </c>
      <c r="J58" s="44" t="n">
        <v>8</v>
      </c>
      <c r="K58" s="44" t="n">
        <v>45</v>
      </c>
      <c r="L58" s="43">
        <f>IFERROR(F58/F22-1,0)</f>
        <v/>
      </c>
      <c r="M58" s="13">
        <f>IF(L58&gt;=0,"Green",IF(ABS(L58)&lt;='00_Readme'!$B$14,"Amber","Red"))</f>
        <v/>
      </c>
    </row>
    <row r="59">
      <c r="A59" s="27" t="inlineStr">
        <is>
          <t>Feb 2026</t>
        </is>
      </c>
      <c r="B59" s="27" t="inlineStr">
        <is>
          <t>Jawa Barat</t>
        </is>
      </c>
      <c r="C59" s="27" t="inlineStr">
        <is>
          <t>E-commerce</t>
        </is>
      </c>
      <c r="D59" s="27" t="inlineStr">
        <is>
          <t>Beverages</t>
        </is>
      </c>
      <c r="E59" s="28" t="n">
        <v>726</v>
      </c>
      <c r="F59" s="44" t="n">
        <v>208</v>
      </c>
      <c r="G59" s="38" t="n">
        <v>0.67</v>
      </c>
      <c r="H59" s="38" t="n">
        <v>0.78</v>
      </c>
      <c r="I59" s="38" t="n">
        <v>0.23</v>
      </c>
      <c r="J59" s="44" t="n">
        <v>9</v>
      </c>
      <c r="K59" s="44" t="n">
        <v>52</v>
      </c>
      <c r="L59" s="43">
        <f>IFERROR(F59/F23-1,0)</f>
        <v/>
      </c>
      <c r="M59" s="13">
        <f>IF(L59&gt;=0,"Green",IF(ABS(L59)&lt;='00_Readme'!$B$14,"Amber","Red"))</f>
        <v/>
      </c>
    </row>
    <row r="60">
      <c r="A60" s="27" t="inlineStr">
        <is>
          <t>Feb 2026</t>
        </is>
      </c>
      <c r="B60" s="27" t="inlineStr">
        <is>
          <t>Jawa Tengah</t>
        </is>
      </c>
      <c r="C60" s="27" t="inlineStr">
        <is>
          <t>General Trade</t>
        </is>
      </c>
      <c r="D60" s="27" t="inlineStr">
        <is>
          <t>Personal Care</t>
        </is>
      </c>
      <c r="E60" s="28" t="n">
        <v>552</v>
      </c>
      <c r="F60" s="44" t="n">
        <v>133</v>
      </c>
      <c r="G60" s="38" t="n">
        <v>0.65</v>
      </c>
      <c r="H60" s="38" t="n">
        <v>0.74</v>
      </c>
      <c r="I60" s="38" t="n">
        <v>0.06999999999999999</v>
      </c>
      <c r="J60" s="44" t="n">
        <v>3</v>
      </c>
      <c r="K60" s="44" t="n">
        <v>29</v>
      </c>
      <c r="L60" s="43">
        <f>IFERROR(F60/F24-1,0)</f>
        <v/>
      </c>
      <c r="M60" s="13">
        <f>IF(L60&gt;=0,"Green",IF(ABS(L60)&lt;='00_Readme'!$B$14,"Amber","Red"))</f>
        <v/>
      </c>
    </row>
    <row r="61">
      <c r="A61" s="27" t="inlineStr">
        <is>
          <t>Feb 2026</t>
        </is>
      </c>
      <c r="B61" s="27" t="inlineStr">
        <is>
          <t>Jawa Tengah</t>
        </is>
      </c>
      <c r="C61" s="27" t="inlineStr">
        <is>
          <t>General Trade</t>
        </is>
      </c>
      <c r="D61" s="27" t="inlineStr">
        <is>
          <t>Home Care</t>
        </is>
      </c>
      <c r="E61" s="28" t="n">
        <v>590</v>
      </c>
      <c r="F61" s="44" t="n">
        <v>149</v>
      </c>
      <c r="G61" s="38" t="n">
        <v>0.65</v>
      </c>
      <c r="H61" s="38" t="n">
        <v>0.75</v>
      </c>
      <c r="I61" s="38" t="n">
        <v>0.06999999999999999</v>
      </c>
      <c r="J61" s="44" t="n">
        <v>4</v>
      </c>
      <c r="K61" s="44" t="n">
        <v>35</v>
      </c>
      <c r="L61" s="43">
        <f>IFERROR(F61/F25-1,0)</f>
        <v/>
      </c>
      <c r="M61" s="13">
        <f>IF(L61&gt;=0,"Green",IF(ABS(L61)&lt;='00_Readme'!$B$14,"Amber","Red"))</f>
        <v/>
      </c>
    </row>
    <row r="62">
      <c r="A62" s="27" t="inlineStr">
        <is>
          <t>Feb 2026</t>
        </is>
      </c>
      <c r="B62" s="27" t="inlineStr">
        <is>
          <t>Jawa Tengah</t>
        </is>
      </c>
      <c r="C62" s="27" t="inlineStr">
        <is>
          <t>General Trade</t>
        </is>
      </c>
      <c r="D62" s="27" t="inlineStr">
        <is>
          <t>Beverages</t>
        </is>
      </c>
      <c r="E62" s="28" t="n">
        <v>628</v>
      </c>
      <c r="F62" s="44" t="n">
        <v>165</v>
      </c>
      <c r="G62" s="38" t="n">
        <v>0.65</v>
      </c>
      <c r="H62" s="38" t="n">
        <v>0.76</v>
      </c>
      <c r="I62" s="38" t="n">
        <v>0.06999999999999999</v>
      </c>
      <c r="J62" s="44" t="n">
        <v>4</v>
      </c>
      <c r="K62" s="44" t="n">
        <v>41</v>
      </c>
      <c r="L62" s="43">
        <f>IFERROR(F62/F26-1,0)</f>
        <v/>
      </c>
      <c r="M62" s="13">
        <f>IF(L62&gt;=0,"Green",IF(ABS(L62)&lt;='00_Readme'!$B$14,"Amber","Red"))</f>
        <v/>
      </c>
    </row>
    <row r="63">
      <c r="A63" s="27" t="inlineStr">
        <is>
          <t>Feb 2026</t>
        </is>
      </c>
      <c r="B63" s="27" t="inlineStr">
        <is>
          <t>Jawa Tengah</t>
        </is>
      </c>
      <c r="C63" s="27" t="inlineStr">
        <is>
          <t>Modern Trade</t>
        </is>
      </c>
      <c r="D63" s="27" t="inlineStr">
        <is>
          <t>Personal Care</t>
        </is>
      </c>
      <c r="E63" s="28" t="n">
        <v>627</v>
      </c>
      <c r="F63" s="44" t="n">
        <v>161</v>
      </c>
      <c r="G63" s="38" t="n">
        <v>0.6900000000000001</v>
      </c>
      <c r="H63" s="38" t="n">
        <v>0.78</v>
      </c>
      <c r="I63" s="38" t="n">
        <v>0.15</v>
      </c>
      <c r="J63" s="44" t="n">
        <v>5</v>
      </c>
      <c r="K63" s="44" t="n">
        <v>35</v>
      </c>
      <c r="L63" s="43">
        <f>IFERROR(F63/F27-1,0)</f>
        <v/>
      </c>
      <c r="M63" s="13">
        <f>IF(L63&gt;=0,"Green",IF(ABS(L63)&lt;='00_Readme'!$B$14,"Amber","Red"))</f>
        <v/>
      </c>
    </row>
    <row r="64">
      <c r="A64" s="27" t="inlineStr">
        <is>
          <t>Feb 2026</t>
        </is>
      </c>
      <c r="B64" s="27" t="inlineStr">
        <is>
          <t>Jawa Tengah</t>
        </is>
      </c>
      <c r="C64" s="27" t="inlineStr">
        <is>
          <t>Modern Trade</t>
        </is>
      </c>
      <c r="D64" s="27" t="inlineStr">
        <is>
          <t>Home Care</t>
        </is>
      </c>
      <c r="E64" s="28" t="n">
        <v>665</v>
      </c>
      <c r="F64" s="44" t="n">
        <v>177</v>
      </c>
      <c r="G64" s="38" t="n">
        <v>0.6900000000000001</v>
      </c>
      <c r="H64" s="38" t="n">
        <v>0.79</v>
      </c>
      <c r="I64" s="38" t="n">
        <v>0.15</v>
      </c>
      <c r="J64" s="44" t="n">
        <v>6</v>
      </c>
      <c r="K64" s="44" t="n">
        <v>42</v>
      </c>
      <c r="L64" s="43">
        <f>IFERROR(F64/F28-1,0)</f>
        <v/>
      </c>
      <c r="M64" s="13">
        <f>IF(L64&gt;=0,"Green",IF(ABS(L64)&lt;='00_Readme'!$B$14,"Amber","Red"))</f>
        <v/>
      </c>
    </row>
    <row r="65">
      <c r="A65" s="27" t="inlineStr">
        <is>
          <t>Feb 2026</t>
        </is>
      </c>
      <c r="B65" s="27" t="inlineStr">
        <is>
          <t>Jawa Tengah</t>
        </is>
      </c>
      <c r="C65" s="27" t="inlineStr">
        <is>
          <t>Modern Trade</t>
        </is>
      </c>
      <c r="D65" s="27" t="inlineStr">
        <is>
          <t>Beverages</t>
        </is>
      </c>
      <c r="E65" s="28" t="n">
        <v>703</v>
      </c>
      <c r="F65" s="44" t="n">
        <v>193</v>
      </c>
      <c r="G65" s="38" t="n">
        <v>0.6900000000000001</v>
      </c>
      <c r="H65" s="38" t="n">
        <v>0.8</v>
      </c>
      <c r="I65" s="38" t="n">
        <v>0.15</v>
      </c>
      <c r="J65" s="44" t="n">
        <v>6</v>
      </c>
      <c r="K65" s="44" t="n">
        <v>48</v>
      </c>
      <c r="L65" s="43">
        <f>IFERROR(F65/F29-1,0)</f>
        <v/>
      </c>
      <c r="M65" s="13">
        <f>IF(L65&gt;=0,"Green",IF(ABS(L65)&lt;='00_Readme'!$B$14,"Amber","Red"))</f>
        <v/>
      </c>
    </row>
    <row r="66">
      <c r="A66" s="27" t="inlineStr">
        <is>
          <t>Feb 2026</t>
        </is>
      </c>
      <c r="B66" s="27" t="inlineStr">
        <is>
          <t>Jawa Tengah</t>
        </is>
      </c>
      <c r="C66" s="27" t="inlineStr">
        <is>
          <t>E-commerce</t>
        </is>
      </c>
      <c r="D66" s="27" t="inlineStr">
        <is>
          <t>Personal Care</t>
        </is>
      </c>
      <c r="E66" s="28" t="n">
        <v>702</v>
      </c>
      <c r="F66" s="44" t="n">
        <v>189</v>
      </c>
      <c r="G66" s="38" t="n">
        <v>0.73</v>
      </c>
      <c r="H66" s="38" t="n">
        <v>0.82</v>
      </c>
      <c r="I66" s="38" t="n">
        <v>0.23</v>
      </c>
      <c r="J66" s="44" t="n">
        <v>8</v>
      </c>
      <c r="K66" s="44" t="n">
        <v>42</v>
      </c>
      <c r="L66" s="43">
        <f>IFERROR(F66/F30-1,0)</f>
        <v/>
      </c>
      <c r="M66" s="13">
        <f>IF(L66&gt;=0,"Green",IF(ABS(L66)&lt;='00_Readme'!$B$14,"Amber","Red"))</f>
        <v/>
      </c>
    </row>
    <row r="67">
      <c r="A67" s="27" t="inlineStr">
        <is>
          <t>Feb 2026</t>
        </is>
      </c>
      <c r="B67" s="27" t="inlineStr">
        <is>
          <t>Jawa Tengah</t>
        </is>
      </c>
      <c r="C67" s="27" t="inlineStr">
        <is>
          <t>E-commerce</t>
        </is>
      </c>
      <c r="D67" s="27" t="inlineStr">
        <is>
          <t>Home Care</t>
        </is>
      </c>
      <c r="E67" s="28" t="n">
        <v>740</v>
      </c>
      <c r="F67" s="44" t="n">
        <v>205</v>
      </c>
      <c r="G67" s="38" t="n">
        <v>0.73</v>
      </c>
      <c r="H67" s="38" t="n">
        <v>0.83</v>
      </c>
      <c r="I67" s="38" t="n">
        <v>0.23</v>
      </c>
      <c r="J67" s="44" t="n">
        <v>8</v>
      </c>
      <c r="K67" s="44" t="n">
        <v>48</v>
      </c>
      <c r="L67" s="43">
        <f>IFERROR(F67/F31-1,0)</f>
        <v/>
      </c>
      <c r="M67" s="13">
        <f>IF(L67&gt;=0,"Green",IF(ABS(L67)&lt;='00_Readme'!$B$14,"Amber","Red"))</f>
        <v/>
      </c>
    </row>
    <row r="68">
      <c r="A68" s="27" t="inlineStr">
        <is>
          <t>Feb 2026</t>
        </is>
      </c>
      <c r="B68" s="27" t="inlineStr">
        <is>
          <t>Jawa Tengah</t>
        </is>
      </c>
      <c r="C68" s="27" t="inlineStr">
        <is>
          <t>E-commerce</t>
        </is>
      </c>
      <c r="D68" s="27" t="inlineStr">
        <is>
          <t>Beverages</t>
        </is>
      </c>
      <c r="E68" s="28" t="n">
        <v>778</v>
      </c>
      <c r="F68" s="44" t="n">
        <v>221</v>
      </c>
      <c r="G68" s="38" t="n">
        <v>0.73</v>
      </c>
      <c r="H68" s="38" t="n">
        <v>0.84</v>
      </c>
      <c r="I68" s="38" t="n">
        <v>0.23</v>
      </c>
      <c r="J68" s="44" t="n">
        <v>9</v>
      </c>
      <c r="K68" s="44" t="n">
        <v>55</v>
      </c>
      <c r="L68" s="43">
        <f>IFERROR(F68/F32-1,0)</f>
        <v/>
      </c>
      <c r="M68" s="13">
        <f>IF(L68&gt;=0,"Green",IF(ABS(L68)&lt;='00_Readme'!$B$14,"Amber","Red"))</f>
        <v/>
      </c>
    </row>
    <row r="69">
      <c r="A69" s="27" t="inlineStr">
        <is>
          <t>Feb 2026</t>
        </is>
      </c>
      <c r="B69" s="27" t="inlineStr">
        <is>
          <t>Jawa Timur</t>
        </is>
      </c>
      <c r="C69" s="27" t="inlineStr">
        <is>
          <t>General Trade</t>
        </is>
      </c>
      <c r="D69" s="27" t="inlineStr">
        <is>
          <t>Personal Care</t>
        </is>
      </c>
      <c r="E69" s="28" t="n">
        <v>604</v>
      </c>
      <c r="F69" s="44" t="n">
        <v>146</v>
      </c>
      <c r="G69" s="38" t="n">
        <v>0.71</v>
      </c>
      <c r="H69" s="38" t="n">
        <v>0.7999999999999999</v>
      </c>
      <c r="I69" s="38" t="n">
        <v>0.06999999999999999</v>
      </c>
      <c r="J69" s="44" t="n">
        <v>4</v>
      </c>
      <c r="K69" s="44" t="n">
        <v>32</v>
      </c>
      <c r="L69" s="43">
        <f>IFERROR(F69/F33-1,0)</f>
        <v/>
      </c>
      <c r="M69" s="13">
        <f>IF(L69&gt;=0,"Green",IF(ABS(L69)&lt;='00_Readme'!$B$14,"Amber","Red"))</f>
        <v/>
      </c>
    </row>
    <row r="70">
      <c r="A70" s="27" t="inlineStr">
        <is>
          <t>Feb 2026</t>
        </is>
      </c>
      <c r="B70" s="27" t="inlineStr">
        <is>
          <t>Jawa Timur</t>
        </is>
      </c>
      <c r="C70" s="27" t="inlineStr">
        <is>
          <t>General Trade</t>
        </is>
      </c>
      <c r="D70" s="27" t="inlineStr">
        <is>
          <t>Home Care</t>
        </is>
      </c>
      <c r="E70" s="28" t="n">
        <v>642</v>
      </c>
      <c r="F70" s="44" t="n">
        <v>162</v>
      </c>
      <c r="G70" s="38" t="n">
        <v>0.71</v>
      </c>
      <c r="H70" s="38" t="n">
        <v>0.8099999999999999</v>
      </c>
      <c r="I70" s="38" t="n">
        <v>0.06999999999999999</v>
      </c>
      <c r="J70" s="44" t="n">
        <v>4</v>
      </c>
      <c r="K70" s="44" t="n">
        <v>38</v>
      </c>
      <c r="L70" s="43">
        <f>IFERROR(F70/F34-1,0)</f>
        <v/>
      </c>
      <c r="M70" s="13">
        <f>IF(L70&gt;=0,"Green",IF(ABS(L70)&lt;='00_Readme'!$B$14,"Amber","Red"))</f>
        <v/>
      </c>
    </row>
    <row r="71">
      <c r="A71" s="27" t="inlineStr">
        <is>
          <t>Feb 2026</t>
        </is>
      </c>
      <c r="B71" s="27" t="inlineStr">
        <is>
          <t>Jawa Timur</t>
        </is>
      </c>
      <c r="C71" s="27" t="inlineStr">
        <is>
          <t>General Trade</t>
        </is>
      </c>
      <c r="D71" s="27" t="inlineStr">
        <is>
          <t>Beverages</t>
        </is>
      </c>
      <c r="E71" s="28" t="n">
        <v>680</v>
      </c>
      <c r="F71" s="44" t="n">
        <v>178</v>
      </c>
      <c r="G71" s="38" t="n">
        <v>0.71</v>
      </c>
      <c r="H71" s="38" t="n">
        <v>0.82</v>
      </c>
      <c r="I71" s="38" t="n">
        <v>0.06999999999999999</v>
      </c>
      <c r="J71" s="44" t="n">
        <v>4</v>
      </c>
      <c r="K71" s="44" t="n">
        <v>44</v>
      </c>
      <c r="L71" s="43">
        <f>IFERROR(F71/F35-1,0)</f>
        <v/>
      </c>
      <c r="M71" s="13">
        <f>IF(L71&gt;=0,"Green",IF(ABS(L71)&lt;='00_Readme'!$B$14,"Amber","Red"))</f>
        <v/>
      </c>
    </row>
    <row r="72">
      <c r="A72" s="27" t="inlineStr">
        <is>
          <t>Feb 2026</t>
        </is>
      </c>
      <c r="B72" s="27" t="inlineStr">
        <is>
          <t>Jawa Timur</t>
        </is>
      </c>
      <c r="C72" s="27" t="inlineStr">
        <is>
          <t>Modern Trade</t>
        </is>
      </c>
      <c r="D72" s="27" t="inlineStr">
        <is>
          <t>Personal Care</t>
        </is>
      </c>
      <c r="E72" s="28" t="n">
        <v>679</v>
      </c>
      <c r="F72" s="44" t="n">
        <v>174</v>
      </c>
      <c r="G72" s="38" t="n">
        <v>0.75</v>
      </c>
      <c r="H72" s="38" t="n">
        <v>0.84</v>
      </c>
      <c r="I72" s="38" t="n">
        <v>0.15</v>
      </c>
      <c r="J72" s="44" t="n">
        <v>6</v>
      </c>
      <c r="K72" s="44" t="n">
        <v>38</v>
      </c>
      <c r="L72" s="43">
        <f>IFERROR(F72/F36-1,0)</f>
        <v/>
      </c>
      <c r="M72" s="13">
        <f>IF(L72&gt;=0,"Green",IF(ABS(L72)&lt;='00_Readme'!$B$14,"Amber","Red"))</f>
        <v/>
      </c>
    </row>
    <row r="73">
      <c r="A73" s="27" t="inlineStr">
        <is>
          <t>Feb 2026</t>
        </is>
      </c>
      <c r="B73" s="27" t="inlineStr">
        <is>
          <t>Jawa Timur</t>
        </is>
      </c>
      <c r="C73" s="27" t="inlineStr">
        <is>
          <t>Modern Trade</t>
        </is>
      </c>
      <c r="D73" s="27" t="inlineStr">
        <is>
          <t>Home Care</t>
        </is>
      </c>
      <c r="E73" s="28" t="n">
        <v>717</v>
      </c>
      <c r="F73" s="44" t="n">
        <v>190</v>
      </c>
      <c r="G73" s="38" t="n">
        <v>0.75</v>
      </c>
      <c r="H73" s="38" t="n">
        <v>0.85</v>
      </c>
      <c r="I73" s="38" t="n">
        <v>0.15</v>
      </c>
      <c r="J73" s="44" t="n">
        <v>6</v>
      </c>
      <c r="K73" s="44" t="n">
        <v>45</v>
      </c>
      <c r="L73" s="43">
        <f>IFERROR(F73/F37-1,0)</f>
        <v/>
      </c>
      <c r="M73" s="13">
        <f>IF(L73&gt;=0,"Green",IF(ABS(L73)&lt;='00_Readme'!$B$14,"Amber","Red"))</f>
        <v/>
      </c>
    </row>
    <row r="74">
      <c r="A74" s="27" t="inlineStr">
        <is>
          <t>Feb 2026</t>
        </is>
      </c>
      <c r="B74" s="27" t="inlineStr">
        <is>
          <t>Jawa Timur</t>
        </is>
      </c>
      <c r="C74" s="27" t="inlineStr">
        <is>
          <t>Modern Trade</t>
        </is>
      </c>
      <c r="D74" s="27" t="inlineStr">
        <is>
          <t>Beverages</t>
        </is>
      </c>
      <c r="E74" s="28" t="n">
        <v>755</v>
      </c>
      <c r="F74" s="44" t="n">
        <v>206</v>
      </c>
      <c r="G74" s="38" t="n">
        <v>0.75</v>
      </c>
      <c r="H74" s="38" t="n">
        <v>0.86</v>
      </c>
      <c r="I74" s="38" t="n">
        <v>0.15</v>
      </c>
      <c r="J74" s="44" t="n">
        <v>7</v>
      </c>
      <c r="K74" s="44" t="n">
        <v>52</v>
      </c>
      <c r="L74" s="43">
        <f>IFERROR(F74/F38-1,0)</f>
        <v/>
      </c>
      <c r="M74" s="13">
        <f>IF(L74&gt;=0,"Green",IF(ABS(L74)&lt;='00_Readme'!$B$14,"Amber","Red"))</f>
        <v/>
      </c>
    </row>
    <row r="75">
      <c r="A75" s="27" t="inlineStr">
        <is>
          <t>Feb 2026</t>
        </is>
      </c>
      <c r="B75" s="27" t="inlineStr">
        <is>
          <t>Jawa Timur</t>
        </is>
      </c>
      <c r="C75" s="27" t="inlineStr">
        <is>
          <t>E-commerce</t>
        </is>
      </c>
      <c r="D75" s="27" t="inlineStr">
        <is>
          <t>Personal Care</t>
        </is>
      </c>
      <c r="E75" s="28" t="n">
        <v>754</v>
      </c>
      <c r="F75" s="44" t="n">
        <v>202</v>
      </c>
      <c r="G75" s="38" t="n">
        <v>0.7899999999999999</v>
      </c>
      <c r="H75" s="38" t="n">
        <v>0.8799999999999999</v>
      </c>
      <c r="I75" s="38" t="n">
        <v>0.23</v>
      </c>
      <c r="J75" s="44" t="n">
        <v>8</v>
      </c>
      <c r="K75" s="44" t="n">
        <v>44</v>
      </c>
      <c r="L75" s="43">
        <f>IFERROR(F75/F39-1,0)</f>
        <v/>
      </c>
      <c r="M75" s="13">
        <f>IF(L75&gt;=0,"Green",IF(ABS(L75)&lt;='00_Readme'!$B$14,"Amber","Red"))</f>
        <v/>
      </c>
    </row>
    <row r="76">
      <c r="A76" s="27" t="inlineStr">
        <is>
          <t>Feb 2026</t>
        </is>
      </c>
      <c r="B76" s="27" t="inlineStr">
        <is>
          <t>Jawa Timur</t>
        </is>
      </c>
      <c r="C76" s="27" t="inlineStr">
        <is>
          <t>E-commerce</t>
        </is>
      </c>
      <c r="D76" s="27" t="inlineStr">
        <is>
          <t>Home Care</t>
        </is>
      </c>
      <c r="E76" s="28" t="n">
        <v>792</v>
      </c>
      <c r="F76" s="44" t="n">
        <v>218</v>
      </c>
      <c r="G76" s="38" t="n">
        <v>0.7899999999999999</v>
      </c>
      <c r="H76" s="38" t="n">
        <v>0.8899999999999999</v>
      </c>
      <c r="I76" s="38" t="n">
        <v>0.23</v>
      </c>
      <c r="J76" s="44" t="n">
        <v>9</v>
      </c>
      <c r="K76" s="44" t="n">
        <v>51</v>
      </c>
      <c r="L76" s="43">
        <f>IFERROR(F76/F40-1,0)</f>
        <v/>
      </c>
      <c r="M76" s="13">
        <f>IF(L76&gt;=0,"Green",IF(ABS(L76)&lt;='00_Readme'!$B$14,"Amber","Red"))</f>
        <v/>
      </c>
    </row>
    <row r="77">
      <c r="A77" s="27" t="inlineStr">
        <is>
          <t>Feb 2026</t>
        </is>
      </c>
      <c r="B77" s="27" t="inlineStr">
        <is>
          <t>Jawa Timur</t>
        </is>
      </c>
      <c r="C77" s="27" t="inlineStr">
        <is>
          <t>E-commerce</t>
        </is>
      </c>
      <c r="D77" s="27" t="inlineStr">
        <is>
          <t>Beverages</t>
        </is>
      </c>
      <c r="E77" s="28" t="n">
        <v>830</v>
      </c>
      <c r="F77" s="44" t="n">
        <v>234</v>
      </c>
      <c r="G77" s="38" t="n">
        <v>0.7899999999999999</v>
      </c>
      <c r="H77" s="38" t="n">
        <v>0.8999999999999999</v>
      </c>
      <c r="I77" s="38" t="n">
        <v>0.23</v>
      </c>
      <c r="J77" s="44" t="n">
        <v>10</v>
      </c>
      <c r="K77" s="44" t="n">
        <v>58</v>
      </c>
      <c r="L77" s="43">
        <f>IFERROR(F77/F41-1,0)</f>
        <v/>
      </c>
      <c r="M77" s="13">
        <f>IF(L77&gt;=0,"Green",IF(ABS(L77)&lt;='00_Readme'!$B$14,"Amber","Red"))</f>
        <v/>
      </c>
    </row>
    <row r="78">
      <c r="A78" s="27" t="inlineStr">
        <is>
          <t>Mar 2026</t>
        </is>
      </c>
      <c r="B78" s="27" t="inlineStr">
        <is>
          <t>Jabodetabek</t>
        </is>
      </c>
      <c r="C78" s="27" t="inlineStr">
        <is>
          <t>General Trade</t>
        </is>
      </c>
      <c r="D78" s="27" t="inlineStr">
        <is>
          <t>Personal Care</t>
        </is>
      </c>
      <c r="E78" s="28" t="n">
        <v>486</v>
      </c>
      <c r="F78" s="44" t="n">
        <v>119</v>
      </c>
      <c r="G78" s="38" t="n">
        <v>0.54</v>
      </c>
      <c r="H78" s="38" t="n">
        <v>0.63</v>
      </c>
      <c r="I78" s="38" t="n">
        <v>0.08</v>
      </c>
      <c r="J78" s="44" t="n">
        <v>3</v>
      </c>
      <c r="K78" s="44" t="n">
        <v>26</v>
      </c>
      <c r="L78" s="43">
        <f>IFERROR(F78/F42-1,0)</f>
        <v/>
      </c>
      <c r="M78" s="13">
        <f>IF(L78&gt;=0,"Green",IF(ABS(L78)&lt;='00_Readme'!$B$14,"Amber","Red"))</f>
        <v/>
      </c>
    </row>
    <row r="79">
      <c r="A79" s="27" t="inlineStr">
        <is>
          <t>Mar 2026</t>
        </is>
      </c>
      <c r="B79" s="27" t="inlineStr">
        <is>
          <t>Jabodetabek</t>
        </is>
      </c>
      <c r="C79" s="27" t="inlineStr">
        <is>
          <t>General Trade</t>
        </is>
      </c>
      <c r="D79" s="27" t="inlineStr">
        <is>
          <t>Home Care</t>
        </is>
      </c>
      <c r="E79" s="28" t="n">
        <v>524</v>
      </c>
      <c r="F79" s="44" t="n">
        <v>135</v>
      </c>
      <c r="G79" s="38" t="n">
        <v>0.54</v>
      </c>
      <c r="H79" s="38" t="n">
        <v>0.64</v>
      </c>
      <c r="I79" s="38" t="n">
        <v>0.08</v>
      </c>
      <c r="J79" s="44" t="n">
        <v>3</v>
      </c>
      <c r="K79" s="44" t="n">
        <v>32</v>
      </c>
      <c r="L79" s="43">
        <f>IFERROR(F79/F43-1,0)</f>
        <v/>
      </c>
      <c r="M79" s="13">
        <f>IF(L79&gt;=0,"Green",IF(ABS(L79)&lt;='00_Readme'!$B$14,"Amber","Red"))</f>
        <v/>
      </c>
    </row>
    <row r="80">
      <c r="A80" s="27" t="inlineStr">
        <is>
          <t>Mar 2026</t>
        </is>
      </c>
      <c r="B80" s="27" t="inlineStr">
        <is>
          <t>Jabodetabek</t>
        </is>
      </c>
      <c r="C80" s="27" t="inlineStr">
        <is>
          <t>General Trade</t>
        </is>
      </c>
      <c r="D80" s="27" t="inlineStr">
        <is>
          <t>Beverages</t>
        </is>
      </c>
      <c r="E80" s="28" t="n">
        <v>562</v>
      </c>
      <c r="F80" s="44" t="n">
        <v>151</v>
      </c>
      <c r="G80" s="38" t="n">
        <v>0.54</v>
      </c>
      <c r="H80" s="38" t="n">
        <v>0.65</v>
      </c>
      <c r="I80" s="38" t="n">
        <v>0.08</v>
      </c>
      <c r="J80" s="44" t="n">
        <v>4</v>
      </c>
      <c r="K80" s="44" t="n">
        <v>38</v>
      </c>
      <c r="L80" s="43">
        <f>IFERROR(F80/F44-1,0)</f>
        <v/>
      </c>
      <c r="M80" s="13">
        <f>IF(L80&gt;=0,"Green",IF(ABS(L80)&lt;='00_Readme'!$B$14,"Amber","Red"))</f>
        <v/>
      </c>
    </row>
    <row r="81">
      <c r="A81" s="27" t="inlineStr">
        <is>
          <t>Mar 2026</t>
        </is>
      </c>
      <c r="B81" s="27" t="inlineStr">
        <is>
          <t>Jabodetabek</t>
        </is>
      </c>
      <c r="C81" s="27" t="inlineStr">
        <is>
          <t>Modern Trade</t>
        </is>
      </c>
      <c r="D81" s="27" t="inlineStr">
        <is>
          <t>Personal Care</t>
        </is>
      </c>
      <c r="E81" s="28" t="n">
        <v>561</v>
      </c>
      <c r="F81" s="44" t="n">
        <v>147</v>
      </c>
      <c r="G81" s="38" t="n">
        <v>0.5800000000000001</v>
      </c>
      <c r="H81" s="38" t="n">
        <v>0.67</v>
      </c>
      <c r="I81" s="38" t="n">
        <v>0.16</v>
      </c>
      <c r="J81" s="44" t="n">
        <v>5</v>
      </c>
      <c r="K81" s="44" t="n">
        <v>32</v>
      </c>
      <c r="L81" s="43">
        <f>IFERROR(F81/F45-1,0)</f>
        <v/>
      </c>
      <c r="M81" s="13">
        <f>IF(L81&gt;=0,"Green",IF(ABS(L81)&lt;='00_Readme'!$B$14,"Amber","Red"))</f>
        <v/>
      </c>
    </row>
    <row r="82">
      <c r="A82" s="27" t="inlineStr">
        <is>
          <t>Mar 2026</t>
        </is>
      </c>
      <c r="B82" s="27" t="inlineStr">
        <is>
          <t>Jabodetabek</t>
        </is>
      </c>
      <c r="C82" s="27" t="inlineStr">
        <is>
          <t>Modern Trade</t>
        </is>
      </c>
      <c r="D82" s="27" t="inlineStr">
        <is>
          <t>Home Care</t>
        </is>
      </c>
      <c r="E82" s="28" t="n">
        <v>599</v>
      </c>
      <c r="F82" s="44" t="n">
        <v>163</v>
      </c>
      <c r="G82" s="38" t="n">
        <v>0.5800000000000001</v>
      </c>
      <c r="H82" s="38" t="n">
        <v>0.68</v>
      </c>
      <c r="I82" s="38" t="n">
        <v>0.16</v>
      </c>
      <c r="J82" s="44" t="n">
        <v>5</v>
      </c>
      <c r="K82" s="44" t="n">
        <v>38</v>
      </c>
      <c r="L82" s="43">
        <f>IFERROR(F82/F46-1,0)</f>
        <v/>
      </c>
      <c r="M82" s="13">
        <f>IF(L82&gt;=0,"Green",IF(ABS(L82)&lt;='00_Readme'!$B$14,"Amber","Red"))</f>
        <v/>
      </c>
    </row>
    <row r="83">
      <c r="A83" s="27" t="inlineStr">
        <is>
          <t>Mar 2026</t>
        </is>
      </c>
      <c r="B83" s="27" t="inlineStr">
        <is>
          <t>Jabodetabek</t>
        </is>
      </c>
      <c r="C83" s="27" t="inlineStr">
        <is>
          <t>Modern Trade</t>
        </is>
      </c>
      <c r="D83" s="27" t="inlineStr">
        <is>
          <t>Beverages</t>
        </is>
      </c>
      <c r="E83" s="28" t="n">
        <v>637</v>
      </c>
      <c r="F83" s="44" t="n">
        <v>179</v>
      </c>
      <c r="G83" s="38" t="n">
        <v>0.5800000000000001</v>
      </c>
      <c r="H83" s="38" t="n">
        <v>0.6900000000000001</v>
      </c>
      <c r="I83" s="38" t="n">
        <v>0.16</v>
      </c>
      <c r="J83" s="44" t="n">
        <v>6</v>
      </c>
      <c r="K83" s="44" t="n">
        <v>45</v>
      </c>
      <c r="L83" s="43">
        <f>IFERROR(F83/F47-1,0)</f>
        <v/>
      </c>
      <c r="M83" s="13">
        <f>IF(L83&gt;=0,"Green",IF(ABS(L83)&lt;='00_Readme'!$B$14,"Amber","Red"))</f>
        <v/>
      </c>
    </row>
    <row r="84">
      <c r="A84" s="27" t="inlineStr">
        <is>
          <t>Mar 2026</t>
        </is>
      </c>
      <c r="B84" s="27" t="inlineStr">
        <is>
          <t>Jabodetabek</t>
        </is>
      </c>
      <c r="C84" s="27" t="inlineStr">
        <is>
          <t>E-commerce</t>
        </is>
      </c>
      <c r="D84" s="27" t="inlineStr">
        <is>
          <t>Personal Care</t>
        </is>
      </c>
      <c r="E84" s="28" t="n">
        <v>636</v>
      </c>
      <c r="F84" s="44" t="n">
        <v>175</v>
      </c>
      <c r="G84" s="38" t="n">
        <v>0.62</v>
      </c>
      <c r="H84" s="38" t="n">
        <v>0.71</v>
      </c>
      <c r="I84" s="38" t="n">
        <v>0.24</v>
      </c>
      <c r="J84" s="44" t="n">
        <v>7</v>
      </c>
      <c r="K84" s="44" t="n">
        <v>38</v>
      </c>
      <c r="L84" s="43">
        <f>IFERROR(F84/F48-1,0)</f>
        <v/>
      </c>
      <c r="M84" s="13">
        <f>IF(L84&gt;=0,"Green",IF(ABS(L84)&lt;='00_Readme'!$B$14,"Amber","Red"))</f>
        <v/>
      </c>
    </row>
    <row r="85">
      <c r="A85" s="27" t="inlineStr">
        <is>
          <t>Mar 2026</t>
        </is>
      </c>
      <c r="B85" s="27" t="inlineStr">
        <is>
          <t>Jabodetabek</t>
        </is>
      </c>
      <c r="C85" s="27" t="inlineStr">
        <is>
          <t>E-commerce</t>
        </is>
      </c>
      <c r="D85" s="27" t="inlineStr">
        <is>
          <t>Home Care</t>
        </is>
      </c>
      <c r="E85" s="28" t="n">
        <v>674</v>
      </c>
      <c r="F85" s="44" t="n">
        <v>191</v>
      </c>
      <c r="G85" s="38" t="n">
        <v>0.62</v>
      </c>
      <c r="H85" s="38" t="n">
        <v>0.72</v>
      </c>
      <c r="I85" s="38" t="n">
        <v>0.24</v>
      </c>
      <c r="J85" s="44" t="n">
        <v>8</v>
      </c>
      <c r="K85" s="44" t="n">
        <v>45</v>
      </c>
      <c r="L85" s="43">
        <f>IFERROR(F85/F49-1,0)</f>
        <v/>
      </c>
      <c r="M85" s="13">
        <f>IF(L85&gt;=0,"Green",IF(ABS(L85)&lt;='00_Readme'!$B$14,"Amber","Red"))</f>
        <v/>
      </c>
    </row>
    <row r="86">
      <c r="A86" s="27" t="inlineStr">
        <is>
          <t>Mar 2026</t>
        </is>
      </c>
      <c r="B86" s="27" t="inlineStr">
        <is>
          <t>Jabodetabek</t>
        </is>
      </c>
      <c r="C86" s="27" t="inlineStr">
        <is>
          <t>E-commerce</t>
        </is>
      </c>
      <c r="D86" s="27" t="inlineStr">
        <is>
          <t>Beverages</t>
        </is>
      </c>
      <c r="E86" s="28" t="n">
        <v>712</v>
      </c>
      <c r="F86" s="44" t="n">
        <v>207</v>
      </c>
      <c r="G86" s="38" t="n">
        <v>0.62</v>
      </c>
      <c r="H86" s="38" t="n">
        <v>0.73</v>
      </c>
      <c r="I86" s="38" t="n">
        <v>0.24</v>
      </c>
      <c r="J86" s="44" t="n">
        <v>8</v>
      </c>
      <c r="K86" s="44" t="n">
        <v>52</v>
      </c>
      <c r="L86" s="43">
        <f>IFERROR(F86/F50-1,0)</f>
        <v/>
      </c>
      <c r="M86" s="13">
        <f>IF(L86&gt;=0,"Green",IF(ABS(L86)&lt;='00_Readme'!$B$14,"Amber","Red"))</f>
        <v/>
      </c>
    </row>
    <row r="87">
      <c r="A87" s="27" t="inlineStr">
        <is>
          <t>Mar 2026</t>
        </is>
      </c>
      <c r="B87" s="27" t="inlineStr">
        <is>
          <t>Jawa Barat</t>
        </is>
      </c>
      <c r="C87" s="27" t="inlineStr">
        <is>
          <t>General Trade</t>
        </is>
      </c>
      <c r="D87" s="27" t="inlineStr">
        <is>
          <t>Personal Care</t>
        </is>
      </c>
      <c r="E87" s="28" t="n">
        <v>538</v>
      </c>
      <c r="F87" s="44" t="n">
        <v>132</v>
      </c>
      <c r="G87" s="38" t="n">
        <v>0.6000000000000001</v>
      </c>
      <c r="H87" s="38" t="n">
        <v>0.6900000000000001</v>
      </c>
      <c r="I87" s="38" t="n">
        <v>0.08</v>
      </c>
      <c r="J87" s="44" t="n">
        <v>3</v>
      </c>
      <c r="K87" s="44" t="n">
        <v>29</v>
      </c>
      <c r="L87" s="43">
        <f>IFERROR(F87/F51-1,0)</f>
        <v/>
      </c>
      <c r="M87" s="13">
        <f>IF(L87&gt;=0,"Green",IF(ABS(L87)&lt;='00_Readme'!$B$14,"Amber","Red"))</f>
        <v/>
      </c>
    </row>
    <row r="88">
      <c r="A88" s="27" t="inlineStr">
        <is>
          <t>Mar 2026</t>
        </is>
      </c>
      <c r="B88" s="27" t="inlineStr">
        <is>
          <t>Jawa Barat</t>
        </is>
      </c>
      <c r="C88" s="27" t="inlineStr">
        <is>
          <t>General Trade</t>
        </is>
      </c>
      <c r="D88" s="27" t="inlineStr">
        <is>
          <t>Home Care</t>
        </is>
      </c>
      <c r="E88" s="28" t="n">
        <v>576</v>
      </c>
      <c r="F88" s="44" t="n">
        <v>148</v>
      </c>
      <c r="G88" s="38" t="n">
        <v>0.6000000000000001</v>
      </c>
      <c r="H88" s="38" t="n">
        <v>0.7000000000000001</v>
      </c>
      <c r="I88" s="38" t="n">
        <v>0.08</v>
      </c>
      <c r="J88" s="44" t="n">
        <v>4</v>
      </c>
      <c r="K88" s="44" t="n">
        <v>35</v>
      </c>
      <c r="L88" s="43">
        <f>IFERROR(F88/F52-1,0)</f>
        <v/>
      </c>
      <c r="M88" s="13">
        <f>IF(L88&gt;=0,"Green",IF(ABS(L88)&lt;='00_Readme'!$B$14,"Amber","Red"))</f>
        <v/>
      </c>
    </row>
    <row r="89">
      <c r="A89" s="27" t="inlineStr">
        <is>
          <t>Mar 2026</t>
        </is>
      </c>
      <c r="B89" s="27" t="inlineStr">
        <is>
          <t>Jawa Barat</t>
        </is>
      </c>
      <c r="C89" s="27" t="inlineStr">
        <is>
          <t>General Trade</t>
        </is>
      </c>
      <c r="D89" s="27" t="inlineStr">
        <is>
          <t>Beverages</t>
        </is>
      </c>
      <c r="E89" s="28" t="n">
        <v>614</v>
      </c>
      <c r="F89" s="44" t="n">
        <v>164</v>
      </c>
      <c r="G89" s="38" t="n">
        <v>0.6000000000000001</v>
      </c>
      <c r="H89" s="38" t="n">
        <v>0.7100000000000001</v>
      </c>
      <c r="I89" s="38" t="n">
        <v>0.08</v>
      </c>
      <c r="J89" s="44" t="n">
        <v>4</v>
      </c>
      <c r="K89" s="44" t="n">
        <v>41</v>
      </c>
      <c r="L89" s="43">
        <f>IFERROR(F89/F53-1,0)</f>
        <v/>
      </c>
      <c r="M89" s="13">
        <f>IF(L89&gt;=0,"Green",IF(ABS(L89)&lt;='00_Readme'!$B$14,"Amber","Red"))</f>
        <v/>
      </c>
    </row>
    <row r="90">
      <c r="A90" s="27" t="inlineStr">
        <is>
          <t>Mar 2026</t>
        </is>
      </c>
      <c r="B90" s="27" t="inlineStr">
        <is>
          <t>Jawa Barat</t>
        </is>
      </c>
      <c r="C90" s="27" t="inlineStr">
        <is>
          <t>Modern Trade</t>
        </is>
      </c>
      <c r="D90" s="27" t="inlineStr">
        <is>
          <t>Personal Care</t>
        </is>
      </c>
      <c r="E90" s="28" t="n">
        <v>613</v>
      </c>
      <c r="F90" s="44" t="n">
        <v>160</v>
      </c>
      <c r="G90" s="38" t="n">
        <v>0.6400000000000001</v>
      </c>
      <c r="H90" s="38" t="n">
        <v>0.7300000000000001</v>
      </c>
      <c r="I90" s="38" t="n">
        <v>0.16</v>
      </c>
      <c r="J90" s="44" t="n">
        <v>5</v>
      </c>
      <c r="K90" s="44" t="n">
        <v>35</v>
      </c>
      <c r="L90" s="43">
        <f>IFERROR(F90/F54-1,0)</f>
        <v/>
      </c>
      <c r="M90" s="13">
        <f>IF(L90&gt;=0,"Green",IF(ABS(L90)&lt;='00_Readme'!$B$14,"Amber","Red"))</f>
        <v/>
      </c>
    </row>
    <row r="91">
      <c r="A91" s="27" t="inlineStr">
        <is>
          <t>Mar 2026</t>
        </is>
      </c>
      <c r="B91" s="27" t="inlineStr">
        <is>
          <t>Jawa Barat</t>
        </is>
      </c>
      <c r="C91" s="27" t="inlineStr">
        <is>
          <t>Modern Trade</t>
        </is>
      </c>
      <c r="D91" s="27" t="inlineStr">
        <is>
          <t>Home Care</t>
        </is>
      </c>
      <c r="E91" s="28" t="n">
        <v>651</v>
      </c>
      <c r="F91" s="44" t="n">
        <v>176</v>
      </c>
      <c r="G91" s="38" t="n">
        <v>0.6400000000000001</v>
      </c>
      <c r="H91" s="38" t="n">
        <v>0.7400000000000001</v>
      </c>
      <c r="I91" s="38" t="n">
        <v>0.16</v>
      </c>
      <c r="J91" s="44" t="n">
        <v>6</v>
      </c>
      <c r="K91" s="44" t="n">
        <v>41</v>
      </c>
      <c r="L91" s="43">
        <f>IFERROR(F91/F55-1,0)</f>
        <v/>
      </c>
      <c r="M91" s="13">
        <f>IF(L91&gt;=0,"Green",IF(ABS(L91)&lt;='00_Readme'!$B$14,"Amber","Red"))</f>
        <v/>
      </c>
    </row>
    <row r="92">
      <c r="A92" s="27" t="inlineStr">
        <is>
          <t>Mar 2026</t>
        </is>
      </c>
      <c r="B92" s="27" t="inlineStr">
        <is>
          <t>Jawa Barat</t>
        </is>
      </c>
      <c r="C92" s="27" t="inlineStr">
        <is>
          <t>Modern Trade</t>
        </is>
      </c>
      <c r="D92" s="27" t="inlineStr">
        <is>
          <t>Beverages</t>
        </is>
      </c>
      <c r="E92" s="28" t="n">
        <v>689</v>
      </c>
      <c r="F92" s="44" t="n">
        <v>192</v>
      </c>
      <c r="G92" s="38" t="n">
        <v>0.6400000000000001</v>
      </c>
      <c r="H92" s="38" t="n">
        <v>0.7500000000000001</v>
      </c>
      <c r="I92" s="38" t="n">
        <v>0.16</v>
      </c>
      <c r="J92" s="44" t="n">
        <v>6</v>
      </c>
      <c r="K92" s="44" t="n">
        <v>48</v>
      </c>
      <c r="L92" s="43">
        <f>IFERROR(F92/F56-1,0)</f>
        <v/>
      </c>
      <c r="M92" s="13">
        <f>IF(L92&gt;=0,"Green",IF(ABS(L92)&lt;='00_Readme'!$B$14,"Amber","Red"))</f>
        <v/>
      </c>
    </row>
    <row r="93">
      <c r="A93" s="27" t="inlineStr">
        <is>
          <t>Mar 2026</t>
        </is>
      </c>
      <c r="B93" s="27" t="inlineStr">
        <is>
          <t>Jawa Barat</t>
        </is>
      </c>
      <c r="C93" s="27" t="inlineStr">
        <is>
          <t>E-commerce</t>
        </is>
      </c>
      <c r="D93" s="27" t="inlineStr">
        <is>
          <t>Personal Care</t>
        </is>
      </c>
      <c r="E93" s="28" t="n">
        <v>688</v>
      </c>
      <c r="F93" s="44" t="n">
        <v>188</v>
      </c>
      <c r="G93" s="38" t="n">
        <v>0.68</v>
      </c>
      <c r="H93" s="38" t="n">
        <v>0.77</v>
      </c>
      <c r="I93" s="38" t="n">
        <v>0.24</v>
      </c>
      <c r="J93" s="44" t="n">
        <v>8</v>
      </c>
      <c r="K93" s="44" t="n">
        <v>41</v>
      </c>
      <c r="L93" s="43">
        <f>IFERROR(F93/F57-1,0)</f>
        <v/>
      </c>
      <c r="M93" s="13">
        <f>IF(L93&gt;=0,"Green",IF(ABS(L93)&lt;='00_Readme'!$B$14,"Amber","Red"))</f>
        <v/>
      </c>
    </row>
    <row r="94">
      <c r="A94" s="27" t="inlineStr">
        <is>
          <t>Mar 2026</t>
        </is>
      </c>
      <c r="B94" s="27" t="inlineStr">
        <is>
          <t>Jawa Barat</t>
        </is>
      </c>
      <c r="C94" s="27" t="inlineStr">
        <is>
          <t>E-commerce</t>
        </is>
      </c>
      <c r="D94" s="27" t="inlineStr">
        <is>
          <t>Home Care</t>
        </is>
      </c>
      <c r="E94" s="28" t="n">
        <v>726</v>
      </c>
      <c r="F94" s="44" t="n">
        <v>204</v>
      </c>
      <c r="G94" s="38" t="n">
        <v>0.68</v>
      </c>
      <c r="H94" s="38" t="n">
        <v>0.78</v>
      </c>
      <c r="I94" s="38" t="n">
        <v>0.24</v>
      </c>
      <c r="J94" s="44" t="n">
        <v>8</v>
      </c>
      <c r="K94" s="44" t="n">
        <v>48</v>
      </c>
      <c r="L94" s="43">
        <f>IFERROR(F94/F58-1,0)</f>
        <v/>
      </c>
      <c r="M94" s="13">
        <f>IF(L94&gt;=0,"Green",IF(ABS(L94)&lt;='00_Readme'!$B$14,"Amber","Red"))</f>
        <v/>
      </c>
    </row>
    <row r="95">
      <c r="A95" s="27" t="inlineStr">
        <is>
          <t>Mar 2026</t>
        </is>
      </c>
      <c r="B95" s="27" t="inlineStr">
        <is>
          <t>Jawa Barat</t>
        </is>
      </c>
      <c r="C95" s="27" t="inlineStr">
        <is>
          <t>E-commerce</t>
        </is>
      </c>
      <c r="D95" s="27" t="inlineStr">
        <is>
          <t>Beverages</t>
        </is>
      </c>
      <c r="E95" s="28" t="n">
        <v>764</v>
      </c>
      <c r="F95" s="44" t="n">
        <v>220</v>
      </c>
      <c r="G95" s="38" t="n">
        <v>0.68</v>
      </c>
      <c r="H95" s="38" t="n">
        <v>0.79</v>
      </c>
      <c r="I95" s="38" t="n">
        <v>0.24</v>
      </c>
      <c r="J95" s="44" t="n">
        <v>9</v>
      </c>
      <c r="K95" s="44" t="n">
        <v>55</v>
      </c>
      <c r="L95" s="43">
        <f>IFERROR(F95/F59-1,0)</f>
        <v/>
      </c>
      <c r="M95" s="13">
        <f>IF(L95&gt;=0,"Green",IF(ABS(L95)&lt;='00_Readme'!$B$14,"Amber","Red"))</f>
        <v/>
      </c>
    </row>
    <row r="96">
      <c r="A96" s="27" t="inlineStr">
        <is>
          <t>Mar 2026</t>
        </is>
      </c>
      <c r="B96" s="27" t="inlineStr">
        <is>
          <t>Jawa Tengah</t>
        </is>
      </c>
      <c r="C96" s="27" t="inlineStr">
        <is>
          <t>General Trade</t>
        </is>
      </c>
      <c r="D96" s="27" t="inlineStr">
        <is>
          <t>Personal Care</t>
        </is>
      </c>
      <c r="E96" s="28" t="n">
        <v>590</v>
      </c>
      <c r="F96" s="44" t="n">
        <v>145</v>
      </c>
      <c r="G96" s="38" t="n">
        <v>0.66</v>
      </c>
      <c r="H96" s="38" t="n">
        <v>0.75</v>
      </c>
      <c r="I96" s="38" t="n">
        <v>0.08</v>
      </c>
      <c r="J96" s="44" t="n">
        <v>4</v>
      </c>
      <c r="K96" s="44" t="n">
        <v>32</v>
      </c>
      <c r="L96" s="43">
        <f>IFERROR(F96/F60-1,0)</f>
        <v/>
      </c>
      <c r="M96" s="13">
        <f>IF(L96&gt;=0,"Green",IF(ABS(L96)&lt;='00_Readme'!$B$14,"Amber","Red"))</f>
        <v/>
      </c>
    </row>
    <row r="97">
      <c r="A97" s="27" t="inlineStr">
        <is>
          <t>Mar 2026</t>
        </is>
      </c>
      <c r="B97" s="27" t="inlineStr">
        <is>
          <t>Jawa Tengah</t>
        </is>
      </c>
      <c r="C97" s="27" t="inlineStr">
        <is>
          <t>General Trade</t>
        </is>
      </c>
      <c r="D97" s="27" t="inlineStr">
        <is>
          <t>Home Care</t>
        </is>
      </c>
      <c r="E97" s="28" t="n">
        <v>628</v>
      </c>
      <c r="F97" s="44" t="n">
        <v>161</v>
      </c>
      <c r="G97" s="38" t="n">
        <v>0.66</v>
      </c>
      <c r="H97" s="38" t="n">
        <v>0.76</v>
      </c>
      <c r="I97" s="38" t="n">
        <v>0.08</v>
      </c>
      <c r="J97" s="44" t="n">
        <v>4</v>
      </c>
      <c r="K97" s="44" t="n">
        <v>38</v>
      </c>
      <c r="L97" s="43">
        <f>IFERROR(F97/F61-1,0)</f>
        <v/>
      </c>
      <c r="M97" s="13">
        <f>IF(L97&gt;=0,"Green",IF(ABS(L97)&lt;='00_Readme'!$B$14,"Amber","Red"))</f>
        <v/>
      </c>
    </row>
    <row r="98">
      <c r="A98" s="27" t="inlineStr">
        <is>
          <t>Mar 2026</t>
        </is>
      </c>
      <c r="B98" s="27" t="inlineStr">
        <is>
          <t>Jawa Tengah</t>
        </is>
      </c>
      <c r="C98" s="27" t="inlineStr">
        <is>
          <t>General Trade</t>
        </is>
      </c>
      <c r="D98" s="27" t="inlineStr">
        <is>
          <t>Beverages</t>
        </is>
      </c>
      <c r="E98" s="28" t="n">
        <v>666</v>
      </c>
      <c r="F98" s="44" t="n">
        <v>177</v>
      </c>
      <c r="G98" s="38" t="n">
        <v>0.66</v>
      </c>
      <c r="H98" s="38" t="n">
        <v>0.77</v>
      </c>
      <c r="I98" s="38" t="n">
        <v>0.08</v>
      </c>
      <c r="J98" s="44" t="n">
        <v>4</v>
      </c>
      <c r="K98" s="44" t="n">
        <v>44</v>
      </c>
      <c r="L98" s="43">
        <f>IFERROR(F98/F62-1,0)</f>
        <v/>
      </c>
      <c r="M98" s="13">
        <f>IF(L98&gt;=0,"Green",IF(ABS(L98)&lt;='00_Readme'!$B$14,"Amber","Red"))</f>
        <v/>
      </c>
    </row>
    <row r="99">
      <c r="A99" s="27" t="inlineStr">
        <is>
          <t>Mar 2026</t>
        </is>
      </c>
      <c r="B99" s="27" t="inlineStr">
        <is>
          <t>Jawa Tengah</t>
        </is>
      </c>
      <c r="C99" s="27" t="inlineStr">
        <is>
          <t>Modern Trade</t>
        </is>
      </c>
      <c r="D99" s="27" t="inlineStr">
        <is>
          <t>Personal Care</t>
        </is>
      </c>
      <c r="E99" s="28" t="n">
        <v>665</v>
      </c>
      <c r="F99" s="44" t="n">
        <v>173</v>
      </c>
      <c r="G99" s="38" t="n">
        <v>0.7000000000000001</v>
      </c>
      <c r="H99" s="38" t="n">
        <v>0.79</v>
      </c>
      <c r="I99" s="38" t="n">
        <v>0.16</v>
      </c>
      <c r="J99" s="44" t="n">
        <v>6</v>
      </c>
      <c r="K99" s="44" t="n">
        <v>38</v>
      </c>
      <c r="L99" s="43">
        <f>IFERROR(F99/F63-1,0)</f>
        <v/>
      </c>
      <c r="M99" s="13">
        <f>IF(L99&gt;=0,"Green",IF(ABS(L99)&lt;='00_Readme'!$B$14,"Amber","Red"))</f>
        <v/>
      </c>
    </row>
    <row r="100">
      <c r="A100" s="27" t="inlineStr">
        <is>
          <t>Mar 2026</t>
        </is>
      </c>
      <c r="B100" s="27" t="inlineStr">
        <is>
          <t>Jawa Tengah</t>
        </is>
      </c>
      <c r="C100" s="27" t="inlineStr">
        <is>
          <t>Modern Trade</t>
        </is>
      </c>
      <c r="D100" s="27" t="inlineStr">
        <is>
          <t>Home Care</t>
        </is>
      </c>
      <c r="E100" s="28" t="n">
        <v>703</v>
      </c>
      <c r="F100" s="44" t="n">
        <v>189</v>
      </c>
      <c r="G100" s="38" t="n">
        <v>0.7000000000000001</v>
      </c>
      <c r="H100" s="38" t="n">
        <v>0.8</v>
      </c>
      <c r="I100" s="38" t="n">
        <v>0.16</v>
      </c>
      <c r="J100" s="44" t="n">
        <v>6</v>
      </c>
      <c r="K100" s="44" t="n">
        <v>44</v>
      </c>
      <c r="L100" s="43">
        <f>IFERROR(F100/F64-1,0)</f>
        <v/>
      </c>
      <c r="M100" s="13">
        <f>IF(L100&gt;=0,"Green",IF(ABS(L100)&lt;='00_Readme'!$B$14,"Amber","Red"))</f>
        <v/>
      </c>
    </row>
    <row r="101">
      <c r="A101" s="27" t="inlineStr">
        <is>
          <t>Mar 2026</t>
        </is>
      </c>
      <c r="B101" s="27" t="inlineStr">
        <is>
          <t>Jawa Tengah</t>
        </is>
      </c>
      <c r="C101" s="27" t="inlineStr">
        <is>
          <t>Modern Trade</t>
        </is>
      </c>
      <c r="D101" s="27" t="inlineStr">
        <is>
          <t>Beverages</t>
        </is>
      </c>
      <c r="E101" s="28" t="n">
        <v>741</v>
      </c>
      <c r="F101" s="44" t="n">
        <v>205</v>
      </c>
      <c r="G101" s="38" t="n">
        <v>0.7000000000000001</v>
      </c>
      <c r="H101" s="38" t="n">
        <v>0.8100000000000001</v>
      </c>
      <c r="I101" s="38" t="n">
        <v>0.16</v>
      </c>
      <c r="J101" s="44" t="n">
        <v>7</v>
      </c>
      <c r="K101" s="44" t="n">
        <v>51</v>
      </c>
      <c r="L101" s="43">
        <f>IFERROR(F101/F65-1,0)</f>
        <v/>
      </c>
      <c r="M101" s="13">
        <f>IF(L101&gt;=0,"Green",IF(ABS(L101)&lt;='00_Readme'!$B$14,"Amber","Red"))</f>
        <v/>
      </c>
    </row>
    <row r="102">
      <c r="A102" s="27" t="inlineStr">
        <is>
          <t>Mar 2026</t>
        </is>
      </c>
      <c r="B102" s="27" t="inlineStr">
        <is>
          <t>Jawa Tengah</t>
        </is>
      </c>
      <c r="C102" s="27" t="inlineStr">
        <is>
          <t>E-commerce</t>
        </is>
      </c>
      <c r="D102" s="27" t="inlineStr">
        <is>
          <t>Personal Care</t>
        </is>
      </c>
      <c r="E102" s="28" t="n">
        <v>740</v>
      </c>
      <c r="F102" s="44" t="n">
        <v>201</v>
      </c>
      <c r="G102" s="38" t="n">
        <v>0.74</v>
      </c>
      <c r="H102" s="38" t="n">
        <v>0.83</v>
      </c>
      <c r="I102" s="38" t="n">
        <v>0.24</v>
      </c>
      <c r="J102" s="44" t="n">
        <v>8</v>
      </c>
      <c r="K102" s="44" t="n">
        <v>44</v>
      </c>
      <c r="L102" s="43">
        <f>IFERROR(F102/F66-1,0)</f>
        <v/>
      </c>
      <c r="M102" s="13">
        <f>IF(L102&gt;=0,"Green",IF(ABS(L102)&lt;='00_Readme'!$B$14,"Amber","Red"))</f>
        <v/>
      </c>
    </row>
    <row r="103">
      <c r="A103" s="27" t="inlineStr">
        <is>
          <t>Mar 2026</t>
        </is>
      </c>
      <c r="B103" s="27" t="inlineStr">
        <is>
          <t>Jawa Tengah</t>
        </is>
      </c>
      <c r="C103" s="27" t="inlineStr">
        <is>
          <t>E-commerce</t>
        </is>
      </c>
      <c r="D103" s="27" t="inlineStr">
        <is>
          <t>Home Care</t>
        </is>
      </c>
      <c r="E103" s="28" t="n">
        <v>778</v>
      </c>
      <c r="F103" s="44" t="n">
        <v>217</v>
      </c>
      <c r="G103" s="38" t="n">
        <v>0.74</v>
      </c>
      <c r="H103" s="38" t="n">
        <v>0.84</v>
      </c>
      <c r="I103" s="38" t="n">
        <v>0.24</v>
      </c>
      <c r="J103" s="44" t="n">
        <v>9</v>
      </c>
      <c r="K103" s="44" t="n">
        <v>51</v>
      </c>
      <c r="L103" s="43">
        <f>IFERROR(F103/F67-1,0)</f>
        <v/>
      </c>
      <c r="M103" s="13">
        <f>IF(L103&gt;=0,"Green",IF(ABS(L103)&lt;='00_Readme'!$B$14,"Amber","Red"))</f>
        <v/>
      </c>
    </row>
    <row r="104">
      <c r="A104" s="27" t="inlineStr">
        <is>
          <t>Mar 2026</t>
        </is>
      </c>
      <c r="B104" s="27" t="inlineStr">
        <is>
          <t>Jawa Tengah</t>
        </is>
      </c>
      <c r="C104" s="27" t="inlineStr">
        <is>
          <t>E-commerce</t>
        </is>
      </c>
      <c r="D104" s="27" t="inlineStr">
        <is>
          <t>Beverages</t>
        </is>
      </c>
      <c r="E104" s="28" t="n">
        <v>816</v>
      </c>
      <c r="F104" s="44" t="n">
        <v>233</v>
      </c>
      <c r="G104" s="38" t="n">
        <v>0.74</v>
      </c>
      <c r="H104" s="38" t="n">
        <v>0.85</v>
      </c>
      <c r="I104" s="38" t="n">
        <v>0.24</v>
      </c>
      <c r="J104" s="44" t="n">
        <v>10</v>
      </c>
      <c r="K104" s="44" t="n">
        <v>58</v>
      </c>
      <c r="L104" s="43">
        <f>IFERROR(F104/F68-1,0)</f>
        <v/>
      </c>
      <c r="M104" s="13">
        <f>IF(L104&gt;=0,"Green",IF(ABS(L104)&lt;='00_Readme'!$B$14,"Amber","Red"))</f>
        <v/>
      </c>
    </row>
    <row r="105">
      <c r="A105" s="27" t="inlineStr">
        <is>
          <t>Mar 2026</t>
        </is>
      </c>
      <c r="B105" s="27" t="inlineStr">
        <is>
          <t>Jawa Timur</t>
        </is>
      </c>
      <c r="C105" s="27" t="inlineStr">
        <is>
          <t>General Trade</t>
        </is>
      </c>
      <c r="D105" s="27" t="inlineStr">
        <is>
          <t>Personal Care</t>
        </is>
      </c>
      <c r="E105" s="28" t="n">
        <v>642</v>
      </c>
      <c r="F105" s="44" t="n">
        <v>158</v>
      </c>
      <c r="G105" s="38" t="n">
        <v>0.72</v>
      </c>
      <c r="H105" s="38" t="n">
        <v>0.8099999999999999</v>
      </c>
      <c r="I105" s="38" t="n">
        <v>0.08</v>
      </c>
      <c r="J105" s="44" t="n">
        <v>4</v>
      </c>
      <c r="K105" s="44" t="n">
        <v>35</v>
      </c>
      <c r="L105" s="43">
        <f>IFERROR(F105/F69-1,0)</f>
        <v/>
      </c>
      <c r="M105" s="13">
        <f>IF(L105&gt;=0,"Green",IF(ABS(L105)&lt;='00_Readme'!$B$14,"Amber","Red"))</f>
        <v/>
      </c>
    </row>
    <row r="106">
      <c r="A106" s="27" t="inlineStr">
        <is>
          <t>Mar 2026</t>
        </is>
      </c>
      <c r="B106" s="27" t="inlineStr">
        <is>
          <t>Jawa Timur</t>
        </is>
      </c>
      <c r="C106" s="27" t="inlineStr">
        <is>
          <t>General Trade</t>
        </is>
      </c>
      <c r="D106" s="27" t="inlineStr">
        <is>
          <t>Home Care</t>
        </is>
      </c>
      <c r="E106" s="28" t="n">
        <v>680</v>
      </c>
      <c r="F106" s="44" t="n">
        <v>174</v>
      </c>
      <c r="G106" s="38" t="n">
        <v>0.72</v>
      </c>
      <c r="H106" s="38" t="n">
        <v>0.82</v>
      </c>
      <c r="I106" s="38" t="n">
        <v>0.08</v>
      </c>
      <c r="J106" s="44" t="n">
        <v>4</v>
      </c>
      <c r="K106" s="44" t="n">
        <v>41</v>
      </c>
      <c r="L106" s="43">
        <f>IFERROR(F106/F70-1,0)</f>
        <v/>
      </c>
      <c r="M106" s="13">
        <f>IF(L106&gt;=0,"Green",IF(ABS(L106)&lt;='00_Readme'!$B$14,"Amber","Red"))</f>
        <v/>
      </c>
    </row>
    <row r="107">
      <c r="A107" s="27" t="inlineStr">
        <is>
          <t>Mar 2026</t>
        </is>
      </c>
      <c r="B107" s="27" t="inlineStr">
        <is>
          <t>Jawa Timur</t>
        </is>
      </c>
      <c r="C107" s="27" t="inlineStr">
        <is>
          <t>General Trade</t>
        </is>
      </c>
      <c r="D107" s="27" t="inlineStr">
        <is>
          <t>Beverages</t>
        </is>
      </c>
      <c r="E107" s="28" t="n">
        <v>718</v>
      </c>
      <c r="F107" s="44" t="n">
        <v>190</v>
      </c>
      <c r="G107" s="38" t="n">
        <v>0.72</v>
      </c>
      <c r="H107" s="38" t="n">
        <v>0.83</v>
      </c>
      <c r="I107" s="38" t="n">
        <v>0.08</v>
      </c>
      <c r="J107" s="44" t="n">
        <v>5</v>
      </c>
      <c r="K107" s="44" t="n">
        <v>48</v>
      </c>
      <c r="L107" s="43">
        <f>IFERROR(F107/F71-1,0)</f>
        <v/>
      </c>
      <c r="M107" s="13">
        <f>IF(L107&gt;=0,"Green",IF(ABS(L107)&lt;='00_Readme'!$B$14,"Amber","Red"))</f>
        <v/>
      </c>
    </row>
    <row r="108">
      <c r="A108" s="27" t="inlineStr">
        <is>
          <t>Mar 2026</t>
        </is>
      </c>
      <c r="B108" s="27" t="inlineStr">
        <is>
          <t>Jawa Timur</t>
        </is>
      </c>
      <c r="C108" s="27" t="inlineStr">
        <is>
          <t>Modern Trade</t>
        </is>
      </c>
      <c r="D108" s="27" t="inlineStr">
        <is>
          <t>Personal Care</t>
        </is>
      </c>
      <c r="E108" s="28" t="n">
        <v>717</v>
      </c>
      <c r="F108" s="44" t="n">
        <v>186</v>
      </c>
      <c r="G108" s="38" t="n">
        <v>0.76</v>
      </c>
      <c r="H108" s="38" t="n">
        <v>0.85</v>
      </c>
      <c r="I108" s="38" t="n">
        <v>0.16</v>
      </c>
      <c r="J108" s="44" t="n">
        <v>6</v>
      </c>
      <c r="K108" s="44" t="n">
        <v>41</v>
      </c>
      <c r="L108" s="43">
        <f>IFERROR(F108/F72-1,0)</f>
        <v/>
      </c>
      <c r="M108" s="13">
        <f>IF(L108&gt;=0,"Green",IF(ABS(L108)&lt;='00_Readme'!$B$14,"Amber","Red"))</f>
        <v/>
      </c>
    </row>
    <row r="109">
      <c r="A109" s="27" t="inlineStr">
        <is>
          <t>Mar 2026</t>
        </is>
      </c>
      <c r="B109" s="27" t="inlineStr">
        <is>
          <t>Jawa Timur</t>
        </is>
      </c>
      <c r="C109" s="27" t="inlineStr">
        <is>
          <t>Modern Trade</t>
        </is>
      </c>
      <c r="D109" s="27" t="inlineStr">
        <is>
          <t>Home Care</t>
        </is>
      </c>
      <c r="E109" s="28" t="n">
        <v>755</v>
      </c>
      <c r="F109" s="44" t="n">
        <v>202</v>
      </c>
      <c r="G109" s="38" t="n">
        <v>0.76</v>
      </c>
      <c r="H109" s="38" t="n">
        <v>0.86</v>
      </c>
      <c r="I109" s="38" t="n">
        <v>0.16</v>
      </c>
      <c r="J109" s="44" t="n">
        <v>7</v>
      </c>
      <c r="K109" s="44" t="n">
        <v>47</v>
      </c>
      <c r="L109" s="43">
        <f>IFERROR(F109/F73-1,0)</f>
        <v/>
      </c>
      <c r="M109" s="13">
        <f>IF(L109&gt;=0,"Green",IF(ABS(L109)&lt;='00_Readme'!$B$14,"Amber","Red"))</f>
        <v/>
      </c>
    </row>
    <row r="110">
      <c r="A110" s="27" t="inlineStr">
        <is>
          <t>Mar 2026</t>
        </is>
      </c>
      <c r="B110" s="27" t="inlineStr">
        <is>
          <t>Jawa Timur</t>
        </is>
      </c>
      <c r="C110" s="27" t="inlineStr">
        <is>
          <t>Modern Trade</t>
        </is>
      </c>
      <c r="D110" s="27" t="inlineStr">
        <is>
          <t>Beverages</t>
        </is>
      </c>
      <c r="E110" s="28" t="n">
        <v>793</v>
      </c>
      <c r="F110" s="44" t="n">
        <v>218</v>
      </c>
      <c r="G110" s="38" t="n">
        <v>0.76</v>
      </c>
      <c r="H110" s="38" t="n">
        <v>0.87</v>
      </c>
      <c r="I110" s="38" t="n">
        <v>0.16</v>
      </c>
      <c r="J110" s="44" t="n">
        <v>7</v>
      </c>
      <c r="K110" s="44" t="n">
        <v>54</v>
      </c>
      <c r="L110" s="43">
        <f>IFERROR(F110/F74-1,0)</f>
        <v/>
      </c>
      <c r="M110" s="13">
        <f>IF(L110&gt;=0,"Green",IF(ABS(L110)&lt;='00_Readme'!$B$14,"Amber","Red"))</f>
        <v/>
      </c>
    </row>
    <row r="111">
      <c r="A111" s="27" t="inlineStr">
        <is>
          <t>Mar 2026</t>
        </is>
      </c>
      <c r="B111" s="27" t="inlineStr">
        <is>
          <t>Jawa Timur</t>
        </is>
      </c>
      <c r="C111" s="27" t="inlineStr">
        <is>
          <t>E-commerce</t>
        </is>
      </c>
      <c r="D111" s="27" t="inlineStr">
        <is>
          <t>Personal Care</t>
        </is>
      </c>
      <c r="E111" s="28" t="n">
        <v>792</v>
      </c>
      <c r="F111" s="44" t="n">
        <v>214</v>
      </c>
      <c r="G111" s="38" t="n">
        <v>0.7999999999999999</v>
      </c>
      <c r="H111" s="38" t="n">
        <v>0.8899999999999999</v>
      </c>
      <c r="I111" s="38" t="n">
        <v>0.24</v>
      </c>
      <c r="J111" s="44" t="n">
        <v>9</v>
      </c>
      <c r="K111" s="44" t="n">
        <v>47</v>
      </c>
      <c r="L111" s="43">
        <f>IFERROR(F111/F75-1,0)</f>
        <v/>
      </c>
      <c r="M111" s="13">
        <f>IF(L111&gt;=0,"Green",IF(ABS(L111)&lt;='00_Readme'!$B$14,"Amber","Red"))</f>
        <v/>
      </c>
    </row>
    <row r="112">
      <c r="A112" s="27" t="inlineStr">
        <is>
          <t>Mar 2026</t>
        </is>
      </c>
      <c r="B112" s="27" t="inlineStr">
        <is>
          <t>Jawa Timur</t>
        </is>
      </c>
      <c r="C112" s="27" t="inlineStr">
        <is>
          <t>E-commerce</t>
        </is>
      </c>
      <c r="D112" s="27" t="inlineStr">
        <is>
          <t>Home Care</t>
        </is>
      </c>
      <c r="E112" s="28" t="n">
        <v>830</v>
      </c>
      <c r="F112" s="44" t="n">
        <v>230</v>
      </c>
      <c r="G112" s="38" t="n">
        <v>0.7999999999999999</v>
      </c>
      <c r="H112" s="38" t="n">
        <v>0.8999999999999999</v>
      </c>
      <c r="I112" s="38" t="n">
        <v>0.24</v>
      </c>
      <c r="J112" s="44" t="n">
        <v>9</v>
      </c>
      <c r="K112" s="44" t="n">
        <v>54</v>
      </c>
      <c r="L112" s="43">
        <f>IFERROR(F112/F76-1,0)</f>
        <v/>
      </c>
      <c r="M112" s="13">
        <f>IF(L112&gt;=0,"Green",IF(ABS(L112)&lt;='00_Readme'!$B$14,"Amber","Red"))</f>
        <v/>
      </c>
    </row>
    <row r="113">
      <c r="A113" s="27" t="inlineStr">
        <is>
          <t>Mar 2026</t>
        </is>
      </c>
      <c r="B113" s="27" t="inlineStr">
        <is>
          <t>Jawa Timur</t>
        </is>
      </c>
      <c r="C113" s="27" t="inlineStr">
        <is>
          <t>E-commerce</t>
        </is>
      </c>
      <c r="D113" s="27" t="inlineStr">
        <is>
          <t>Beverages</t>
        </is>
      </c>
      <c r="E113" s="28" t="n">
        <v>868</v>
      </c>
      <c r="F113" s="44" t="n">
        <v>246</v>
      </c>
      <c r="G113" s="38" t="n">
        <v>0.7999999999999999</v>
      </c>
      <c r="H113" s="38" t="n">
        <v>0.9099999999999999</v>
      </c>
      <c r="I113" s="38" t="n">
        <v>0.24</v>
      </c>
      <c r="J113" s="44" t="n">
        <v>10</v>
      </c>
      <c r="K113" s="44" t="n">
        <v>62</v>
      </c>
      <c r="L113" s="43">
        <f>IFERROR(F113/F77-1,0)</f>
        <v/>
      </c>
      <c r="M113" s="13">
        <f>IF(L113&gt;=0,"Green",IF(ABS(L113)&lt;='00_Readme'!$B$14,"Amber","Red"))</f>
        <v/>
      </c>
    </row>
    <row r="114">
      <c r="A114" s="27" t="inlineStr">
        <is>
          <t>Apr 2026</t>
        </is>
      </c>
      <c r="B114" s="27" t="inlineStr">
        <is>
          <t>Jabodetabek</t>
        </is>
      </c>
      <c r="C114" s="27" t="inlineStr">
        <is>
          <t>General Trade</t>
        </is>
      </c>
      <c r="D114" s="27" t="inlineStr">
        <is>
          <t>Personal Care</t>
        </is>
      </c>
      <c r="E114" s="28" t="n">
        <v>458</v>
      </c>
      <c r="F114" s="44" t="n">
        <v>131</v>
      </c>
      <c r="G114" s="38" t="n">
        <v>0.52</v>
      </c>
      <c r="H114" s="38" t="n">
        <v>0.61</v>
      </c>
      <c r="I114" s="38" t="n">
        <v>0.09</v>
      </c>
      <c r="J114" s="44" t="n">
        <v>3</v>
      </c>
      <c r="K114" s="44" t="n">
        <v>29</v>
      </c>
      <c r="L114" s="43">
        <f>IFERROR(F114/F78-1,0)</f>
        <v/>
      </c>
      <c r="M114" s="13">
        <f>IF(L114&gt;=0,"Green",IF(ABS(L114)&lt;='00_Readme'!$B$14,"Amber","Red"))</f>
        <v/>
      </c>
    </row>
    <row r="115">
      <c r="A115" s="27" t="inlineStr">
        <is>
          <t>Apr 2026</t>
        </is>
      </c>
      <c r="B115" s="27" t="inlineStr">
        <is>
          <t>Jabodetabek</t>
        </is>
      </c>
      <c r="C115" s="27" t="inlineStr">
        <is>
          <t>General Trade</t>
        </is>
      </c>
      <c r="D115" s="27" t="inlineStr">
        <is>
          <t>Home Care</t>
        </is>
      </c>
      <c r="E115" s="28" t="n">
        <v>496</v>
      </c>
      <c r="F115" s="44" t="n">
        <v>147</v>
      </c>
      <c r="G115" s="38" t="n">
        <v>0.52</v>
      </c>
      <c r="H115" s="38" t="n">
        <v>0.62</v>
      </c>
      <c r="I115" s="38" t="n">
        <v>0.09</v>
      </c>
      <c r="J115" s="44" t="n">
        <v>4</v>
      </c>
      <c r="K115" s="44" t="n">
        <v>35</v>
      </c>
      <c r="L115" s="43">
        <f>IFERROR(F115/F79-1,0)</f>
        <v/>
      </c>
      <c r="M115" s="13">
        <f>IF(L115&gt;=0,"Green",IF(ABS(L115)&lt;='00_Readme'!$B$14,"Amber","Red"))</f>
        <v/>
      </c>
    </row>
    <row r="116">
      <c r="A116" s="27" t="inlineStr">
        <is>
          <t>Apr 2026</t>
        </is>
      </c>
      <c r="B116" s="27" t="inlineStr">
        <is>
          <t>Jabodetabek</t>
        </is>
      </c>
      <c r="C116" s="27" t="inlineStr">
        <is>
          <t>General Trade</t>
        </is>
      </c>
      <c r="D116" s="27" t="inlineStr">
        <is>
          <t>Beverages</t>
        </is>
      </c>
      <c r="E116" s="28" t="n">
        <v>534</v>
      </c>
      <c r="F116" s="44" t="n">
        <v>163</v>
      </c>
      <c r="G116" s="38" t="n">
        <v>0.52</v>
      </c>
      <c r="H116" s="38" t="n">
        <v>0.63</v>
      </c>
      <c r="I116" s="38" t="n">
        <v>0.09</v>
      </c>
      <c r="J116" s="44" t="n">
        <v>4</v>
      </c>
      <c r="K116" s="44" t="n">
        <v>41</v>
      </c>
      <c r="L116" s="43">
        <f>IFERROR(F116/F80-1,0)</f>
        <v/>
      </c>
      <c r="M116" s="13">
        <f>IF(L116&gt;=0,"Green",IF(ABS(L116)&lt;='00_Readme'!$B$14,"Amber","Red"))</f>
        <v/>
      </c>
    </row>
    <row r="117">
      <c r="A117" s="27" t="inlineStr">
        <is>
          <t>Apr 2026</t>
        </is>
      </c>
      <c r="B117" s="27" t="inlineStr">
        <is>
          <t>Jabodetabek</t>
        </is>
      </c>
      <c r="C117" s="27" t="inlineStr">
        <is>
          <t>Modern Trade</t>
        </is>
      </c>
      <c r="D117" s="27" t="inlineStr">
        <is>
          <t>Personal Care</t>
        </is>
      </c>
      <c r="E117" s="28" t="n">
        <v>533</v>
      </c>
      <c r="F117" s="44" t="n">
        <v>159</v>
      </c>
      <c r="G117" s="38" t="n">
        <v>0.5600000000000001</v>
      </c>
      <c r="H117" s="38" t="n">
        <v>0.65</v>
      </c>
      <c r="I117" s="38" t="n">
        <v>0.17</v>
      </c>
      <c r="J117" s="44" t="n">
        <v>5</v>
      </c>
      <c r="K117" s="44" t="n">
        <v>35</v>
      </c>
      <c r="L117" s="43">
        <f>IFERROR(F117/F81-1,0)</f>
        <v/>
      </c>
      <c r="M117" s="13">
        <f>IF(L117&gt;=0,"Green",IF(ABS(L117)&lt;='00_Readme'!$B$14,"Amber","Red"))</f>
        <v/>
      </c>
    </row>
    <row r="118">
      <c r="A118" s="27" t="inlineStr">
        <is>
          <t>Apr 2026</t>
        </is>
      </c>
      <c r="B118" s="27" t="inlineStr">
        <is>
          <t>Jabodetabek</t>
        </is>
      </c>
      <c r="C118" s="27" t="inlineStr">
        <is>
          <t>Modern Trade</t>
        </is>
      </c>
      <c r="D118" s="27" t="inlineStr">
        <is>
          <t>Home Care</t>
        </is>
      </c>
      <c r="E118" s="28" t="n">
        <v>571</v>
      </c>
      <c r="F118" s="44" t="n">
        <v>175</v>
      </c>
      <c r="G118" s="38" t="n">
        <v>0.5600000000000001</v>
      </c>
      <c r="H118" s="38" t="n">
        <v>0.66</v>
      </c>
      <c r="I118" s="38" t="n">
        <v>0.17</v>
      </c>
      <c r="J118" s="44" t="n">
        <v>6</v>
      </c>
      <c r="K118" s="44" t="n">
        <v>41</v>
      </c>
      <c r="L118" s="43">
        <f>IFERROR(F118/F82-1,0)</f>
        <v/>
      </c>
      <c r="M118" s="13">
        <f>IF(L118&gt;=0,"Green",IF(ABS(L118)&lt;='00_Readme'!$B$14,"Amber","Red"))</f>
        <v/>
      </c>
    </row>
    <row r="119">
      <c r="A119" s="27" t="inlineStr">
        <is>
          <t>Apr 2026</t>
        </is>
      </c>
      <c r="B119" s="27" t="inlineStr">
        <is>
          <t>Jabodetabek</t>
        </is>
      </c>
      <c r="C119" s="27" t="inlineStr">
        <is>
          <t>Modern Trade</t>
        </is>
      </c>
      <c r="D119" s="27" t="inlineStr">
        <is>
          <t>Beverages</t>
        </is>
      </c>
      <c r="E119" s="28" t="n">
        <v>609</v>
      </c>
      <c r="F119" s="44" t="n">
        <v>191</v>
      </c>
      <c r="G119" s="38" t="n">
        <v>0.5600000000000001</v>
      </c>
      <c r="H119" s="38" t="n">
        <v>0.67</v>
      </c>
      <c r="I119" s="38" t="n">
        <v>0.17</v>
      </c>
      <c r="J119" s="44" t="n">
        <v>6</v>
      </c>
      <c r="K119" s="44" t="n">
        <v>48</v>
      </c>
      <c r="L119" s="43">
        <f>IFERROR(F119/F83-1,0)</f>
        <v/>
      </c>
      <c r="M119" s="13">
        <f>IF(L119&gt;=0,"Green",IF(ABS(L119)&lt;='00_Readme'!$B$14,"Amber","Red"))</f>
        <v/>
      </c>
    </row>
    <row r="120">
      <c r="A120" s="27" t="inlineStr">
        <is>
          <t>Apr 2026</t>
        </is>
      </c>
      <c r="B120" s="27" t="inlineStr">
        <is>
          <t>Jabodetabek</t>
        </is>
      </c>
      <c r="C120" s="27" t="inlineStr">
        <is>
          <t>E-commerce</t>
        </is>
      </c>
      <c r="D120" s="27" t="inlineStr">
        <is>
          <t>Personal Care</t>
        </is>
      </c>
      <c r="E120" s="28" t="n">
        <v>608</v>
      </c>
      <c r="F120" s="44" t="n">
        <v>187</v>
      </c>
      <c r="G120" s="38" t="n">
        <v>0.6</v>
      </c>
      <c r="H120" s="38" t="n">
        <v>0.6899999999999999</v>
      </c>
      <c r="I120" s="38" t="n">
        <v>0.25</v>
      </c>
      <c r="J120" s="44" t="n">
        <v>8</v>
      </c>
      <c r="K120" s="44" t="n">
        <v>41</v>
      </c>
      <c r="L120" s="43">
        <f>IFERROR(F120/F84-1,0)</f>
        <v/>
      </c>
      <c r="M120" s="13">
        <f>IF(L120&gt;=0,"Green",IF(ABS(L120)&lt;='00_Readme'!$B$14,"Amber","Red"))</f>
        <v/>
      </c>
    </row>
    <row r="121">
      <c r="A121" s="27" t="inlineStr">
        <is>
          <t>Apr 2026</t>
        </is>
      </c>
      <c r="B121" s="27" t="inlineStr">
        <is>
          <t>Jabodetabek</t>
        </is>
      </c>
      <c r="C121" s="27" t="inlineStr">
        <is>
          <t>E-commerce</t>
        </is>
      </c>
      <c r="D121" s="27" t="inlineStr">
        <is>
          <t>Home Care</t>
        </is>
      </c>
      <c r="E121" s="28" t="n">
        <v>646</v>
      </c>
      <c r="F121" s="44" t="n">
        <v>203</v>
      </c>
      <c r="G121" s="38" t="n">
        <v>0.6</v>
      </c>
      <c r="H121" s="38" t="n">
        <v>0.7</v>
      </c>
      <c r="I121" s="38" t="n">
        <v>0.25</v>
      </c>
      <c r="J121" s="44" t="n">
        <v>8</v>
      </c>
      <c r="K121" s="44" t="n">
        <v>48</v>
      </c>
      <c r="L121" s="43">
        <f>IFERROR(F121/F85-1,0)</f>
        <v/>
      </c>
      <c r="M121" s="13">
        <f>IF(L121&gt;=0,"Green",IF(ABS(L121)&lt;='00_Readme'!$B$14,"Amber","Red"))</f>
        <v/>
      </c>
    </row>
    <row r="122">
      <c r="A122" s="27" t="inlineStr">
        <is>
          <t>Apr 2026</t>
        </is>
      </c>
      <c r="B122" s="27" t="inlineStr">
        <is>
          <t>Jabodetabek</t>
        </is>
      </c>
      <c r="C122" s="27" t="inlineStr">
        <is>
          <t>E-commerce</t>
        </is>
      </c>
      <c r="D122" s="27" t="inlineStr">
        <is>
          <t>Beverages</t>
        </is>
      </c>
      <c r="E122" s="28" t="n">
        <v>684</v>
      </c>
      <c r="F122" s="44" t="n">
        <v>219</v>
      </c>
      <c r="G122" s="38" t="n">
        <v>0.6</v>
      </c>
      <c r="H122" s="38" t="n">
        <v>0.71</v>
      </c>
      <c r="I122" s="38" t="n">
        <v>0.25</v>
      </c>
      <c r="J122" s="44" t="n">
        <v>9</v>
      </c>
      <c r="K122" s="44" t="n">
        <v>55</v>
      </c>
      <c r="L122" s="43">
        <f>IFERROR(F122/F86-1,0)</f>
        <v/>
      </c>
      <c r="M122" s="13">
        <f>IF(L122&gt;=0,"Green",IF(ABS(L122)&lt;='00_Readme'!$B$14,"Amber","Red"))</f>
        <v/>
      </c>
    </row>
    <row r="123">
      <c r="A123" s="27" t="inlineStr">
        <is>
          <t>Apr 2026</t>
        </is>
      </c>
      <c r="B123" s="27" t="inlineStr">
        <is>
          <t>Jawa Barat</t>
        </is>
      </c>
      <c r="C123" s="27" t="inlineStr">
        <is>
          <t>General Trade</t>
        </is>
      </c>
      <c r="D123" s="27" t="inlineStr">
        <is>
          <t>Personal Care</t>
        </is>
      </c>
      <c r="E123" s="28" t="n">
        <v>510</v>
      </c>
      <c r="F123" s="44" t="n">
        <v>144</v>
      </c>
      <c r="G123" s="38" t="n">
        <v>0.5800000000000001</v>
      </c>
      <c r="H123" s="38" t="n">
        <v>0.67</v>
      </c>
      <c r="I123" s="38" t="n">
        <v>0.09</v>
      </c>
      <c r="J123" s="44" t="n">
        <v>4</v>
      </c>
      <c r="K123" s="44" t="n">
        <v>32</v>
      </c>
      <c r="L123" s="43">
        <f>IFERROR(F123/F87-1,0)</f>
        <v/>
      </c>
      <c r="M123" s="13">
        <f>IF(L123&gt;=0,"Green",IF(ABS(L123)&lt;='00_Readme'!$B$14,"Amber","Red"))</f>
        <v/>
      </c>
    </row>
    <row r="124">
      <c r="A124" s="27" t="inlineStr">
        <is>
          <t>Apr 2026</t>
        </is>
      </c>
      <c r="B124" s="27" t="inlineStr">
        <is>
          <t>Jawa Barat</t>
        </is>
      </c>
      <c r="C124" s="27" t="inlineStr">
        <is>
          <t>General Trade</t>
        </is>
      </c>
      <c r="D124" s="27" t="inlineStr">
        <is>
          <t>Home Care</t>
        </is>
      </c>
      <c r="E124" s="28" t="n">
        <v>548</v>
      </c>
      <c r="F124" s="44" t="n">
        <v>160</v>
      </c>
      <c r="G124" s="38" t="n">
        <v>0.5800000000000001</v>
      </c>
      <c r="H124" s="38" t="n">
        <v>0.68</v>
      </c>
      <c r="I124" s="38" t="n">
        <v>0.09</v>
      </c>
      <c r="J124" s="44" t="n">
        <v>4</v>
      </c>
      <c r="K124" s="44" t="n">
        <v>38</v>
      </c>
      <c r="L124" s="43">
        <f>IFERROR(F124/F88-1,0)</f>
        <v/>
      </c>
      <c r="M124" s="13">
        <f>IF(L124&gt;=0,"Green",IF(ABS(L124)&lt;='00_Readme'!$B$14,"Amber","Red"))</f>
        <v/>
      </c>
    </row>
    <row r="125">
      <c r="A125" s="27" t="inlineStr">
        <is>
          <t>Apr 2026</t>
        </is>
      </c>
      <c r="B125" s="27" t="inlineStr">
        <is>
          <t>Jawa Barat</t>
        </is>
      </c>
      <c r="C125" s="27" t="inlineStr">
        <is>
          <t>General Trade</t>
        </is>
      </c>
      <c r="D125" s="27" t="inlineStr">
        <is>
          <t>Beverages</t>
        </is>
      </c>
      <c r="E125" s="28" t="n">
        <v>586</v>
      </c>
      <c r="F125" s="44" t="n">
        <v>176</v>
      </c>
      <c r="G125" s="38" t="n">
        <v>0.5800000000000001</v>
      </c>
      <c r="H125" s="38" t="n">
        <v>0.6900000000000001</v>
      </c>
      <c r="I125" s="38" t="n">
        <v>0.09</v>
      </c>
      <c r="J125" s="44" t="n">
        <v>4</v>
      </c>
      <c r="K125" s="44" t="n">
        <v>44</v>
      </c>
      <c r="L125" s="43">
        <f>IFERROR(F125/F89-1,0)</f>
        <v/>
      </c>
      <c r="M125" s="13">
        <f>IF(L125&gt;=0,"Green",IF(ABS(L125)&lt;='00_Readme'!$B$14,"Amber","Red"))</f>
        <v/>
      </c>
    </row>
    <row r="126">
      <c r="A126" s="27" t="inlineStr">
        <is>
          <t>Apr 2026</t>
        </is>
      </c>
      <c r="B126" s="27" t="inlineStr">
        <is>
          <t>Jawa Barat</t>
        </is>
      </c>
      <c r="C126" s="27" t="inlineStr">
        <is>
          <t>Modern Trade</t>
        </is>
      </c>
      <c r="D126" s="27" t="inlineStr">
        <is>
          <t>Personal Care</t>
        </is>
      </c>
      <c r="E126" s="28" t="n">
        <v>585</v>
      </c>
      <c r="F126" s="44" t="n">
        <v>172</v>
      </c>
      <c r="G126" s="38" t="n">
        <v>0.6200000000000001</v>
      </c>
      <c r="H126" s="38" t="n">
        <v>0.7100000000000001</v>
      </c>
      <c r="I126" s="38" t="n">
        <v>0.17</v>
      </c>
      <c r="J126" s="44" t="n">
        <v>6</v>
      </c>
      <c r="K126" s="44" t="n">
        <v>38</v>
      </c>
      <c r="L126" s="43">
        <f>IFERROR(F126/F90-1,0)</f>
        <v/>
      </c>
      <c r="M126" s="13">
        <f>IF(L126&gt;=0,"Green",IF(ABS(L126)&lt;='00_Readme'!$B$14,"Amber","Red"))</f>
        <v/>
      </c>
    </row>
    <row r="127">
      <c r="A127" s="27" t="inlineStr">
        <is>
          <t>Apr 2026</t>
        </is>
      </c>
      <c r="B127" s="27" t="inlineStr">
        <is>
          <t>Jawa Barat</t>
        </is>
      </c>
      <c r="C127" s="27" t="inlineStr">
        <is>
          <t>Modern Trade</t>
        </is>
      </c>
      <c r="D127" s="27" t="inlineStr">
        <is>
          <t>Home Care</t>
        </is>
      </c>
      <c r="E127" s="28" t="n">
        <v>623</v>
      </c>
      <c r="F127" s="44" t="n">
        <v>188</v>
      </c>
      <c r="G127" s="38" t="n">
        <v>0.6200000000000001</v>
      </c>
      <c r="H127" s="38" t="n">
        <v>0.7200000000000001</v>
      </c>
      <c r="I127" s="38" t="n">
        <v>0.17</v>
      </c>
      <c r="J127" s="44" t="n">
        <v>6</v>
      </c>
      <c r="K127" s="44" t="n">
        <v>44</v>
      </c>
      <c r="L127" s="43">
        <f>IFERROR(F127/F91-1,0)</f>
        <v/>
      </c>
      <c r="M127" s="13">
        <f>IF(L127&gt;=0,"Green",IF(ABS(L127)&lt;='00_Readme'!$B$14,"Amber","Red"))</f>
        <v/>
      </c>
    </row>
    <row r="128">
      <c r="A128" s="27" t="inlineStr">
        <is>
          <t>Apr 2026</t>
        </is>
      </c>
      <c r="B128" s="27" t="inlineStr">
        <is>
          <t>Jawa Barat</t>
        </is>
      </c>
      <c r="C128" s="27" t="inlineStr">
        <is>
          <t>Modern Trade</t>
        </is>
      </c>
      <c r="D128" s="27" t="inlineStr">
        <is>
          <t>Beverages</t>
        </is>
      </c>
      <c r="E128" s="28" t="n">
        <v>661</v>
      </c>
      <c r="F128" s="44" t="n">
        <v>204</v>
      </c>
      <c r="G128" s="38" t="n">
        <v>0.6200000000000001</v>
      </c>
      <c r="H128" s="38" t="n">
        <v>0.7300000000000001</v>
      </c>
      <c r="I128" s="38" t="n">
        <v>0.17</v>
      </c>
      <c r="J128" s="44" t="n">
        <v>7</v>
      </c>
      <c r="K128" s="44" t="n">
        <v>51</v>
      </c>
      <c r="L128" s="43">
        <f>IFERROR(F128/F92-1,0)</f>
        <v/>
      </c>
      <c r="M128" s="13">
        <f>IF(L128&gt;=0,"Green",IF(ABS(L128)&lt;='00_Readme'!$B$14,"Amber","Red"))</f>
        <v/>
      </c>
    </row>
    <row r="129">
      <c r="A129" s="27" t="inlineStr">
        <is>
          <t>Apr 2026</t>
        </is>
      </c>
      <c r="B129" s="27" t="inlineStr">
        <is>
          <t>Jawa Barat</t>
        </is>
      </c>
      <c r="C129" s="27" t="inlineStr">
        <is>
          <t>E-commerce</t>
        </is>
      </c>
      <c r="D129" s="27" t="inlineStr">
        <is>
          <t>Personal Care</t>
        </is>
      </c>
      <c r="E129" s="28" t="n">
        <v>660</v>
      </c>
      <c r="F129" s="44" t="n">
        <v>200</v>
      </c>
      <c r="G129" s="38" t="n">
        <v>0.66</v>
      </c>
      <c r="H129" s="38" t="n">
        <v>0.75</v>
      </c>
      <c r="I129" s="38" t="n">
        <v>0.25</v>
      </c>
      <c r="J129" s="44" t="n">
        <v>8</v>
      </c>
      <c r="K129" s="44" t="n">
        <v>44</v>
      </c>
      <c r="L129" s="43">
        <f>IFERROR(F129/F93-1,0)</f>
        <v/>
      </c>
      <c r="M129" s="13">
        <f>IF(L129&gt;=0,"Green",IF(ABS(L129)&lt;='00_Readme'!$B$14,"Amber","Red"))</f>
        <v/>
      </c>
    </row>
    <row r="130">
      <c r="A130" s="27" t="inlineStr">
        <is>
          <t>Apr 2026</t>
        </is>
      </c>
      <c r="B130" s="27" t="inlineStr">
        <is>
          <t>Jawa Barat</t>
        </is>
      </c>
      <c r="C130" s="27" t="inlineStr">
        <is>
          <t>E-commerce</t>
        </is>
      </c>
      <c r="D130" s="27" t="inlineStr">
        <is>
          <t>Home Care</t>
        </is>
      </c>
      <c r="E130" s="28" t="n">
        <v>698</v>
      </c>
      <c r="F130" s="44" t="n">
        <v>216</v>
      </c>
      <c r="G130" s="38" t="n">
        <v>0.66</v>
      </c>
      <c r="H130" s="38" t="n">
        <v>0.76</v>
      </c>
      <c r="I130" s="38" t="n">
        <v>0.25</v>
      </c>
      <c r="J130" s="44" t="n">
        <v>9</v>
      </c>
      <c r="K130" s="44" t="n">
        <v>51</v>
      </c>
      <c r="L130" s="43">
        <f>IFERROR(F130/F94-1,0)</f>
        <v/>
      </c>
      <c r="M130" s="13">
        <f>IF(L130&gt;=0,"Green",IF(ABS(L130)&lt;='00_Readme'!$B$14,"Amber","Red"))</f>
        <v/>
      </c>
    </row>
    <row r="131">
      <c r="A131" s="27" t="inlineStr">
        <is>
          <t>Apr 2026</t>
        </is>
      </c>
      <c r="B131" s="27" t="inlineStr">
        <is>
          <t>Jawa Barat</t>
        </is>
      </c>
      <c r="C131" s="27" t="inlineStr">
        <is>
          <t>E-commerce</t>
        </is>
      </c>
      <c r="D131" s="27" t="inlineStr">
        <is>
          <t>Beverages</t>
        </is>
      </c>
      <c r="E131" s="28" t="n">
        <v>736</v>
      </c>
      <c r="F131" s="44" t="n">
        <v>232</v>
      </c>
      <c r="G131" s="38" t="n">
        <v>0.66</v>
      </c>
      <c r="H131" s="38" t="n">
        <v>0.77</v>
      </c>
      <c r="I131" s="38" t="n">
        <v>0.25</v>
      </c>
      <c r="J131" s="44" t="n">
        <v>10</v>
      </c>
      <c r="K131" s="44" t="n">
        <v>58</v>
      </c>
      <c r="L131" s="43">
        <f>IFERROR(F131/F95-1,0)</f>
        <v/>
      </c>
      <c r="M131" s="13">
        <f>IF(L131&gt;=0,"Green",IF(ABS(L131)&lt;='00_Readme'!$B$14,"Amber","Red"))</f>
        <v/>
      </c>
    </row>
    <row r="132">
      <c r="A132" s="27" t="inlineStr">
        <is>
          <t>Apr 2026</t>
        </is>
      </c>
      <c r="B132" s="27" t="inlineStr">
        <is>
          <t>Jawa Tengah</t>
        </is>
      </c>
      <c r="C132" s="27" t="inlineStr">
        <is>
          <t>General Trade</t>
        </is>
      </c>
      <c r="D132" s="27" t="inlineStr">
        <is>
          <t>Personal Care</t>
        </is>
      </c>
      <c r="E132" s="28" t="n">
        <v>562</v>
      </c>
      <c r="F132" s="44" t="n">
        <v>157</v>
      </c>
      <c r="G132" s="38" t="n">
        <v>0.64</v>
      </c>
      <c r="H132" s="38" t="n">
        <v>0.73</v>
      </c>
      <c r="I132" s="38" t="n">
        <v>0.09</v>
      </c>
      <c r="J132" s="44" t="n">
        <v>4</v>
      </c>
      <c r="K132" s="44" t="n">
        <v>35</v>
      </c>
      <c r="L132" s="43">
        <f>IFERROR(F132/F96-1,0)</f>
        <v/>
      </c>
      <c r="M132" s="13">
        <f>IF(L132&gt;=0,"Green",IF(ABS(L132)&lt;='00_Readme'!$B$14,"Amber","Red"))</f>
        <v/>
      </c>
    </row>
    <row r="133">
      <c r="A133" s="27" t="inlineStr">
        <is>
          <t>Apr 2026</t>
        </is>
      </c>
      <c r="B133" s="27" t="inlineStr">
        <is>
          <t>Jawa Tengah</t>
        </is>
      </c>
      <c r="C133" s="27" t="inlineStr">
        <is>
          <t>General Trade</t>
        </is>
      </c>
      <c r="D133" s="27" t="inlineStr">
        <is>
          <t>Home Care</t>
        </is>
      </c>
      <c r="E133" s="28" t="n">
        <v>600</v>
      </c>
      <c r="F133" s="44" t="n">
        <v>173</v>
      </c>
      <c r="G133" s="38" t="n">
        <v>0.64</v>
      </c>
      <c r="H133" s="38" t="n">
        <v>0.74</v>
      </c>
      <c r="I133" s="38" t="n">
        <v>0.09</v>
      </c>
      <c r="J133" s="44" t="n">
        <v>4</v>
      </c>
      <c r="K133" s="44" t="n">
        <v>41</v>
      </c>
      <c r="L133" s="43">
        <f>IFERROR(F133/F97-1,0)</f>
        <v/>
      </c>
      <c r="M133" s="13">
        <f>IF(L133&gt;=0,"Green",IF(ABS(L133)&lt;='00_Readme'!$B$14,"Amber","Red"))</f>
        <v/>
      </c>
    </row>
    <row r="134">
      <c r="A134" s="27" t="inlineStr">
        <is>
          <t>Apr 2026</t>
        </is>
      </c>
      <c r="B134" s="27" t="inlineStr">
        <is>
          <t>Jawa Tengah</t>
        </is>
      </c>
      <c r="C134" s="27" t="inlineStr">
        <is>
          <t>General Trade</t>
        </is>
      </c>
      <c r="D134" s="27" t="inlineStr">
        <is>
          <t>Beverages</t>
        </is>
      </c>
      <c r="E134" s="28" t="n">
        <v>638</v>
      </c>
      <c r="F134" s="44" t="n">
        <v>189</v>
      </c>
      <c r="G134" s="38" t="n">
        <v>0.64</v>
      </c>
      <c r="H134" s="38" t="n">
        <v>0.75</v>
      </c>
      <c r="I134" s="38" t="n">
        <v>0.09</v>
      </c>
      <c r="J134" s="44" t="n">
        <v>5</v>
      </c>
      <c r="K134" s="44" t="n">
        <v>47</v>
      </c>
      <c r="L134" s="43">
        <f>IFERROR(F134/F98-1,0)</f>
        <v/>
      </c>
      <c r="M134" s="13">
        <f>IF(L134&gt;=0,"Green",IF(ABS(L134)&lt;='00_Readme'!$B$14,"Amber","Red"))</f>
        <v/>
      </c>
    </row>
    <row r="135">
      <c r="A135" s="27" t="inlineStr">
        <is>
          <t>Apr 2026</t>
        </is>
      </c>
      <c r="B135" s="27" t="inlineStr">
        <is>
          <t>Jawa Tengah</t>
        </is>
      </c>
      <c r="C135" s="27" t="inlineStr">
        <is>
          <t>Modern Trade</t>
        </is>
      </c>
      <c r="D135" s="27" t="inlineStr">
        <is>
          <t>Personal Care</t>
        </is>
      </c>
      <c r="E135" s="28" t="n">
        <v>637</v>
      </c>
      <c r="F135" s="44" t="n">
        <v>185</v>
      </c>
      <c r="G135" s="38" t="n">
        <v>0.68</v>
      </c>
      <c r="H135" s="38" t="n">
        <v>0.77</v>
      </c>
      <c r="I135" s="38" t="n">
        <v>0.17</v>
      </c>
      <c r="J135" s="44" t="n">
        <v>6</v>
      </c>
      <c r="K135" s="44" t="n">
        <v>41</v>
      </c>
      <c r="L135" s="43">
        <f>IFERROR(F135/F99-1,0)</f>
        <v/>
      </c>
      <c r="M135" s="13">
        <f>IF(L135&gt;=0,"Green",IF(ABS(L135)&lt;='00_Readme'!$B$14,"Amber","Red"))</f>
        <v/>
      </c>
    </row>
    <row r="136">
      <c r="A136" s="27" t="inlineStr">
        <is>
          <t>Apr 2026</t>
        </is>
      </c>
      <c r="B136" s="27" t="inlineStr">
        <is>
          <t>Jawa Tengah</t>
        </is>
      </c>
      <c r="C136" s="27" t="inlineStr">
        <is>
          <t>Modern Trade</t>
        </is>
      </c>
      <c r="D136" s="27" t="inlineStr">
        <is>
          <t>Home Care</t>
        </is>
      </c>
      <c r="E136" s="28" t="n">
        <v>675</v>
      </c>
      <c r="F136" s="44" t="n">
        <v>201</v>
      </c>
      <c r="G136" s="38" t="n">
        <v>0.68</v>
      </c>
      <c r="H136" s="38" t="n">
        <v>0.78</v>
      </c>
      <c r="I136" s="38" t="n">
        <v>0.17</v>
      </c>
      <c r="J136" s="44" t="n">
        <v>7</v>
      </c>
      <c r="K136" s="44" t="n">
        <v>47</v>
      </c>
      <c r="L136" s="43">
        <f>IFERROR(F136/F100-1,0)</f>
        <v/>
      </c>
      <c r="M136" s="13">
        <f>IF(L136&gt;=0,"Green",IF(ABS(L136)&lt;='00_Readme'!$B$14,"Amber","Red"))</f>
        <v/>
      </c>
    </row>
    <row r="137">
      <c r="A137" s="27" t="inlineStr">
        <is>
          <t>Apr 2026</t>
        </is>
      </c>
      <c r="B137" s="27" t="inlineStr">
        <is>
          <t>Jawa Tengah</t>
        </is>
      </c>
      <c r="C137" s="27" t="inlineStr">
        <is>
          <t>Modern Trade</t>
        </is>
      </c>
      <c r="D137" s="27" t="inlineStr">
        <is>
          <t>Beverages</t>
        </is>
      </c>
      <c r="E137" s="28" t="n">
        <v>713</v>
      </c>
      <c r="F137" s="44" t="n">
        <v>217</v>
      </c>
      <c r="G137" s="38" t="n">
        <v>0.68</v>
      </c>
      <c r="H137" s="38" t="n">
        <v>0.79</v>
      </c>
      <c r="I137" s="38" t="n">
        <v>0.17</v>
      </c>
      <c r="J137" s="44" t="n">
        <v>7</v>
      </c>
      <c r="K137" s="44" t="n">
        <v>54</v>
      </c>
      <c r="L137" s="43">
        <f>IFERROR(F137/F101-1,0)</f>
        <v/>
      </c>
      <c r="M137" s="13">
        <f>IF(L137&gt;=0,"Green",IF(ABS(L137)&lt;='00_Readme'!$B$14,"Amber","Red"))</f>
        <v/>
      </c>
    </row>
    <row r="138">
      <c r="A138" s="27" t="inlineStr">
        <is>
          <t>Apr 2026</t>
        </is>
      </c>
      <c r="B138" s="27" t="inlineStr">
        <is>
          <t>Jawa Tengah</t>
        </is>
      </c>
      <c r="C138" s="27" t="inlineStr">
        <is>
          <t>E-commerce</t>
        </is>
      </c>
      <c r="D138" s="27" t="inlineStr">
        <is>
          <t>Personal Care</t>
        </is>
      </c>
      <c r="E138" s="28" t="n">
        <v>712</v>
      </c>
      <c r="F138" s="44" t="n">
        <v>213</v>
      </c>
      <c r="G138" s="38" t="n">
        <v>0.72</v>
      </c>
      <c r="H138" s="38" t="n">
        <v>0.8099999999999999</v>
      </c>
      <c r="I138" s="38" t="n">
        <v>0.25</v>
      </c>
      <c r="J138" s="44" t="n">
        <v>9</v>
      </c>
      <c r="K138" s="44" t="n">
        <v>47</v>
      </c>
      <c r="L138" s="43">
        <f>IFERROR(F138/F102-1,0)</f>
        <v/>
      </c>
      <c r="M138" s="13">
        <f>IF(L138&gt;=0,"Green",IF(ABS(L138)&lt;='00_Readme'!$B$14,"Amber","Red"))</f>
        <v/>
      </c>
    </row>
    <row r="139">
      <c r="A139" s="27" t="inlineStr">
        <is>
          <t>Apr 2026</t>
        </is>
      </c>
      <c r="B139" s="27" t="inlineStr">
        <is>
          <t>Jawa Tengah</t>
        </is>
      </c>
      <c r="C139" s="27" t="inlineStr">
        <is>
          <t>E-commerce</t>
        </is>
      </c>
      <c r="D139" s="27" t="inlineStr">
        <is>
          <t>Home Care</t>
        </is>
      </c>
      <c r="E139" s="28" t="n">
        <v>750</v>
      </c>
      <c r="F139" s="44" t="n">
        <v>229</v>
      </c>
      <c r="G139" s="38" t="n">
        <v>0.72</v>
      </c>
      <c r="H139" s="38" t="n">
        <v>0.82</v>
      </c>
      <c r="I139" s="38" t="n">
        <v>0.25</v>
      </c>
      <c r="J139" s="44" t="n">
        <v>9</v>
      </c>
      <c r="K139" s="44" t="n">
        <v>54</v>
      </c>
      <c r="L139" s="43">
        <f>IFERROR(F139/F103-1,0)</f>
        <v/>
      </c>
      <c r="M139" s="13">
        <f>IF(L139&gt;=0,"Green",IF(ABS(L139)&lt;='00_Readme'!$B$14,"Amber","Red"))</f>
        <v/>
      </c>
    </row>
    <row r="140">
      <c r="A140" s="27" t="inlineStr">
        <is>
          <t>Apr 2026</t>
        </is>
      </c>
      <c r="B140" s="27" t="inlineStr">
        <is>
          <t>Jawa Tengah</t>
        </is>
      </c>
      <c r="C140" s="27" t="inlineStr">
        <is>
          <t>E-commerce</t>
        </is>
      </c>
      <c r="D140" s="27" t="inlineStr">
        <is>
          <t>Beverages</t>
        </is>
      </c>
      <c r="E140" s="28" t="n">
        <v>788</v>
      </c>
      <c r="F140" s="44" t="n">
        <v>245</v>
      </c>
      <c r="G140" s="38" t="n">
        <v>0.72</v>
      </c>
      <c r="H140" s="38" t="n">
        <v>0.83</v>
      </c>
      <c r="I140" s="38" t="n">
        <v>0.25</v>
      </c>
      <c r="J140" s="44" t="n">
        <v>10</v>
      </c>
      <c r="K140" s="44" t="n">
        <v>61</v>
      </c>
      <c r="L140" s="43">
        <f>IFERROR(F140/F104-1,0)</f>
        <v/>
      </c>
      <c r="M140" s="13">
        <f>IF(L140&gt;=0,"Green",IF(ABS(L140)&lt;='00_Readme'!$B$14,"Amber","Red"))</f>
        <v/>
      </c>
    </row>
    <row r="141">
      <c r="A141" s="27" t="inlineStr">
        <is>
          <t>Apr 2026</t>
        </is>
      </c>
      <c r="B141" s="27" t="inlineStr">
        <is>
          <t>Jawa Timur</t>
        </is>
      </c>
      <c r="C141" s="27" t="inlineStr">
        <is>
          <t>General Trade</t>
        </is>
      </c>
      <c r="D141" s="27" t="inlineStr">
        <is>
          <t>Personal Care</t>
        </is>
      </c>
      <c r="E141" s="28" t="n">
        <v>614</v>
      </c>
      <c r="F141" s="44" t="n">
        <v>170</v>
      </c>
      <c r="G141" s="38" t="n">
        <v>0.7</v>
      </c>
      <c r="H141" s="38" t="n">
        <v>0.7899999999999999</v>
      </c>
      <c r="I141" s="38" t="n">
        <v>0.09</v>
      </c>
      <c r="J141" s="44" t="n">
        <v>4</v>
      </c>
      <c r="K141" s="44" t="n">
        <v>37</v>
      </c>
      <c r="L141" s="43">
        <f>IFERROR(F141/F105-1,0)</f>
        <v/>
      </c>
      <c r="M141" s="13">
        <f>IF(L141&gt;=0,"Green",IF(ABS(L141)&lt;='00_Readme'!$B$14,"Amber","Red"))</f>
        <v/>
      </c>
    </row>
    <row r="142">
      <c r="A142" s="27" t="inlineStr">
        <is>
          <t>Apr 2026</t>
        </is>
      </c>
      <c r="B142" s="27" t="inlineStr">
        <is>
          <t>Jawa Timur</t>
        </is>
      </c>
      <c r="C142" s="27" t="inlineStr">
        <is>
          <t>General Trade</t>
        </is>
      </c>
      <c r="D142" s="27" t="inlineStr">
        <is>
          <t>Home Care</t>
        </is>
      </c>
      <c r="E142" s="28" t="n">
        <v>652</v>
      </c>
      <c r="F142" s="44" t="n">
        <v>186</v>
      </c>
      <c r="G142" s="38" t="n">
        <v>0.7</v>
      </c>
      <c r="H142" s="38" t="n">
        <v>0.7999999999999999</v>
      </c>
      <c r="I142" s="38" t="n">
        <v>0.09</v>
      </c>
      <c r="J142" s="44" t="n">
        <v>5</v>
      </c>
      <c r="K142" s="44" t="n">
        <v>44</v>
      </c>
      <c r="L142" s="43">
        <f>IFERROR(F142/F106-1,0)</f>
        <v/>
      </c>
      <c r="M142" s="13">
        <f>IF(L142&gt;=0,"Green",IF(ABS(L142)&lt;='00_Readme'!$B$14,"Amber","Red"))</f>
        <v/>
      </c>
    </row>
    <row r="143">
      <c r="A143" s="27" t="inlineStr">
        <is>
          <t>Apr 2026</t>
        </is>
      </c>
      <c r="B143" s="27" t="inlineStr">
        <is>
          <t>Jawa Timur</t>
        </is>
      </c>
      <c r="C143" s="27" t="inlineStr">
        <is>
          <t>General Trade</t>
        </is>
      </c>
      <c r="D143" s="27" t="inlineStr">
        <is>
          <t>Beverages</t>
        </is>
      </c>
      <c r="E143" s="28" t="n">
        <v>690</v>
      </c>
      <c r="F143" s="44" t="n">
        <v>202</v>
      </c>
      <c r="G143" s="38" t="n">
        <v>0.7</v>
      </c>
      <c r="H143" s="38" t="n">
        <v>0.8099999999999999</v>
      </c>
      <c r="I143" s="38" t="n">
        <v>0.09</v>
      </c>
      <c r="J143" s="44" t="n">
        <v>5</v>
      </c>
      <c r="K143" s="44" t="n">
        <v>50</v>
      </c>
      <c r="L143" s="43">
        <f>IFERROR(F143/F107-1,0)</f>
        <v/>
      </c>
      <c r="M143" s="13">
        <f>IF(L143&gt;=0,"Green",IF(ABS(L143)&lt;='00_Readme'!$B$14,"Amber","Red"))</f>
        <v/>
      </c>
    </row>
    <row r="144">
      <c r="A144" s="27" t="inlineStr">
        <is>
          <t>Apr 2026</t>
        </is>
      </c>
      <c r="B144" s="27" t="inlineStr">
        <is>
          <t>Jawa Timur</t>
        </is>
      </c>
      <c r="C144" s="27" t="inlineStr">
        <is>
          <t>Modern Trade</t>
        </is>
      </c>
      <c r="D144" s="27" t="inlineStr">
        <is>
          <t>Personal Care</t>
        </is>
      </c>
      <c r="E144" s="28" t="n">
        <v>689</v>
      </c>
      <c r="F144" s="44" t="n">
        <v>198</v>
      </c>
      <c r="G144" s="38" t="n">
        <v>0.74</v>
      </c>
      <c r="H144" s="38" t="n">
        <v>0.83</v>
      </c>
      <c r="I144" s="38" t="n">
        <v>0.17</v>
      </c>
      <c r="J144" s="44" t="n">
        <v>7</v>
      </c>
      <c r="K144" s="44" t="n">
        <v>44</v>
      </c>
      <c r="L144" s="43">
        <f>IFERROR(F144/F108-1,0)</f>
        <v/>
      </c>
      <c r="M144" s="13">
        <f>IF(L144&gt;=0,"Green",IF(ABS(L144)&lt;='00_Readme'!$B$14,"Amber","Red"))</f>
        <v/>
      </c>
    </row>
    <row r="145">
      <c r="A145" s="27" t="inlineStr">
        <is>
          <t>Apr 2026</t>
        </is>
      </c>
      <c r="B145" s="27" t="inlineStr">
        <is>
          <t>Jawa Timur</t>
        </is>
      </c>
      <c r="C145" s="27" t="inlineStr">
        <is>
          <t>Modern Trade</t>
        </is>
      </c>
      <c r="D145" s="27" t="inlineStr">
        <is>
          <t>Home Care</t>
        </is>
      </c>
      <c r="E145" s="28" t="n">
        <v>727</v>
      </c>
      <c r="F145" s="44" t="n">
        <v>214</v>
      </c>
      <c r="G145" s="38" t="n">
        <v>0.74</v>
      </c>
      <c r="H145" s="38" t="n">
        <v>0.84</v>
      </c>
      <c r="I145" s="38" t="n">
        <v>0.17</v>
      </c>
      <c r="J145" s="44" t="n">
        <v>7</v>
      </c>
      <c r="K145" s="44" t="n">
        <v>50</v>
      </c>
      <c r="L145" s="43">
        <f>IFERROR(F145/F109-1,0)</f>
        <v/>
      </c>
      <c r="M145" s="13">
        <f>IF(L145&gt;=0,"Green",IF(ABS(L145)&lt;='00_Readme'!$B$14,"Amber","Red"))</f>
        <v/>
      </c>
    </row>
    <row r="146">
      <c r="A146" s="27" t="inlineStr">
        <is>
          <t>Apr 2026</t>
        </is>
      </c>
      <c r="B146" s="27" t="inlineStr">
        <is>
          <t>Jawa Timur</t>
        </is>
      </c>
      <c r="C146" s="27" t="inlineStr">
        <is>
          <t>Modern Trade</t>
        </is>
      </c>
      <c r="D146" s="27" t="inlineStr">
        <is>
          <t>Beverages</t>
        </is>
      </c>
      <c r="E146" s="28" t="n">
        <v>765</v>
      </c>
      <c r="F146" s="44" t="n">
        <v>230</v>
      </c>
      <c r="G146" s="38" t="n">
        <v>0.74</v>
      </c>
      <c r="H146" s="38" t="n">
        <v>0.85</v>
      </c>
      <c r="I146" s="38" t="n">
        <v>0.17</v>
      </c>
      <c r="J146" s="44" t="n">
        <v>8</v>
      </c>
      <c r="K146" s="44" t="n">
        <v>58</v>
      </c>
      <c r="L146" s="43">
        <f>IFERROR(F146/F110-1,0)</f>
        <v/>
      </c>
      <c r="M146" s="13">
        <f>IF(L146&gt;=0,"Green",IF(ABS(L146)&lt;='00_Readme'!$B$14,"Amber","Red"))</f>
        <v/>
      </c>
    </row>
    <row r="147">
      <c r="A147" s="27" t="inlineStr">
        <is>
          <t>Apr 2026</t>
        </is>
      </c>
      <c r="B147" s="27" t="inlineStr">
        <is>
          <t>Jawa Timur</t>
        </is>
      </c>
      <c r="C147" s="27" t="inlineStr">
        <is>
          <t>E-commerce</t>
        </is>
      </c>
      <c r="D147" s="27" t="inlineStr">
        <is>
          <t>Personal Care</t>
        </is>
      </c>
      <c r="E147" s="28" t="n">
        <v>764</v>
      </c>
      <c r="F147" s="44" t="n">
        <v>226</v>
      </c>
      <c r="G147" s="38" t="n">
        <v>0.7799999999999999</v>
      </c>
      <c r="H147" s="38" t="n">
        <v>0.8699999999999999</v>
      </c>
      <c r="I147" s="38" t="n">
        <v>0.25</v>
      </c>
      <c r="J147" s="44" t="n">
        <v>9</v>
      </c>
      <c r="K147" s="44" t="n">
        <v>50</v>
      </c>
      <c r="L147" s="43">
        <f>IFERROR(F147/F111-1,0)</f>
        <v/>
      </c>
      <c r="M147" s="13">
        <f>IF(L147&gt;=0,"Green",IF(ABS(L147)&lt;='00_Readme'!$B$14,"Amber","Red"))</f>
        <v/>
      </c>
    </row>
    <row r="148">
      <c r="A148" s="27" t="inlineStr">
        <is>
          <t>Apr 2026</t>
        </is>
      </c>
      <c r="B148" s="27" t="inlineStr">
        <is>
          <t>Jawa Timur</t>
        </is>
      </c>
      <c r="C148" s="27" t="inlineStr">
        <is>
          <t>E-commerce</t>
        </is>
      </c>
      <c r="D148" s="27" t="inlineStr">
        <is>
          <t>Home Care</t>
        </is>
      </c>
      <c r="E148" s="28" t="n">
        <v>802</v>
      </c>
      <c r="F148" s="44" t="n">
        <v>242</v>
      </c>
      <c r="G148" s="38" t="n">
        <v>0.7799999999999999</v>
      </c>
      <c r="H148" s="38" t="n">
        <v>0.8799999999999999</v>
      </c>
      <c r="I148" s="38" t="n">
        <v>0.25</v>
      </c>
      <c r="J148" s="44" t="n">
        <v>10</v>
      </c>
      <c r="K148" s="44" t="n">
        <v>57</v>
      </c>
      <c r="L148" s="43">
        <f>IFERROR(F148/F112-1,0)</f>
        <v/>
      </c>
      <c r="M148" s="13">
        <f>IF(L148&gt;=0,"Green",IF(ABS(L148)&lt;='00_Readme'!$B$14,"Amber","Red"))</f>
        <v/>
      </c>
    </row>
    <row r="149">
      <c r="A149" s="27" t="inlineStr">
        <is>
          <t>Apr 2026</t>
        </is>
      </c>
      <c r="B149" s="27" t="inlineStr">
        <is>
          <t>Jawa Timur</t>
        </is>
      </c>
      <c r="C149" s="27" t="inlineStr">
        <is>
          <t>E-commerce</t>
        </is>
      </c>
      <c r="D149" s="27" t="inlineStr">
        <is>
          <t>Beverages</t>
        </is>
      </c>
      <c r="E149" s="28" t="n">
        <v>840</v>
      </c>
      <c r="F149" s="44" t="n">
        <v>258</v>
      </c>
      <c r="G149" s="38" t="n">
        <v>0.7799999999999999</v>
      </c>
      <c r="H149" s="38" t="n">
        <v>0.8899999999999999</v>
      </c>
      <c r="I149" s="38" t="n">
        <v>0.25</v>
      </c>
      <c r="J149" s="44" t="n">
        <v>11</v>
      </c>
      <c r="K149" s="44" t="n">
        <v>64</v>
      </c>
      <c r="L149" s="43">
        <f>IFERROR(F149/F113-1,0)</f>
        <v/>
      </c>
      <c r="M149" s="13">
        <f>IF(L149&gt;=0,"Green",IF(ABS(L149)&lt;='00_Readme'!$B$14,"Amber","Red"))</f>
        <v/>
      </c>
    </row>
    <row r="150">
      <c r="A150" s="27" t="inlineStr">
        <is>
          <t>May 2026</t>
        </is>
      </c>
      <c r="B150" s="27" t="inlineStr">
        <is>
          <t>Jabodetabek</t>
        </is>
      </c>
      <c r="C150" s="27" t="inlineStr">
        <is>
          <t>General Trade</t>
        </is>
      </c>
      <c r="D150" s="27" t="inlineStr">
        <is>
          <t>Personal Care</t>
        </is>
      </c>
      <c r="E150" s="28" t="n">
        <v>496</v>
      </c>
      <c r="F150" s="44" t="n">
        <v>115</v>
      </c>
      <c r="G150" s="38" t="n">
        <v>0.53</v>
      </c>
      <c r="H150" s="38" t="n">
        <v>0.62</v>
      </c>
      <c r="I150" s="38" t="n">
        <v>0.06</v>
      </c>
      <c r="J150" s="44" t="n">
        <v>3</v>
      </c>
      <c r="K150" s="44" t="n">
        <v>25</v>
      </c>
      <c r="L150" s="43">
        <f>IFERROR(F150/F114-1,0)</f>
        <v/>
      </c>
      <c r="M150" s="13">
        <f>IF(L150&gt;=0,"Green",IF(ABS(L150)&lt;='00_Readme'!$B$14,"Amber","Red"))</f>
        <v/>
      </c>
    </row>
    <row r="151">
      <c r="A151" s="27" t="inlineStr">
        <is>
          <t>May 2026</t>
        </is>
      </c>
      <c r="B151" s="27" t="inlineStr">
        <is>
          <t>Jabodetabek</t>
        </is>
      </c>
      <c r="C151" s="27" t="inlineStr">
        <is>
          <t>General Trade</t>
        </is>
      </c>
      <c r="D151" s="27" t="inlineStr">
        <is>
          <t>Home Care</t>
        </is>
      </c>
      <c r="E151" s="28" t="n">
        <v>534</v>
      </c>
      <c r="F151" s="44" t="n">
        <v>131</v>
      </c>
      <c r="G151" s="38" t="n">
        <v>0.53</v>
      </c>
      <c r="H151" s="38" t="n">
        <v>0.63</v>
      </c>
      <c r="I151" s="38" t="n">
        <v>0.06</v>
      </c>
      <c r="J151" s="44" t="n">
        <v>3</v>
      </c>
      <c r="K151" s="44" t="n">
        <v>31</v>
      </c>
      <c r="L151" s="43">
        <f>IFERROR(F151/F115-1,0)</f>
        <v/>
      </c>
      <c r="M151" s="13">
        <f>IF(L151&gt;=0,"Green",IF(ABS(L151)&lt;='00_Readme'!$B$14,"Amber","Red"))</f>
        <v/>
      </c>
    </row>
    <row r="152">
      <c r="A152" s="27" t="inlineStr">
        <is>
          <t>May 2026</t>
        </is>
      </c>
      <c r="B152" s="27" t="inlineStr">
        <is>
          <t>Jabodetabek</t>
        </is>
      </c>
      <c r="C152" s="27" t="inlineStr">
        <is>
          <t>General Trade</t>
        </is>
      </c>
      <c r="D152" s="27" t="inlineStr">
        <is>
          <t>Beverages</t>
        </is>
      </c>
      <c r="E152" s="28" t="n">
        <v>572</v>
      </c>
      <c r="F152" s="44" t="n">
        <v>147</v>
      </c>
      <c r="G152" s="38" t="n">
        <v>0.53</v>
      </c>
      <c r="H152" s="38" t="n">
        <v>0.64</v>
      </c>
      <c r="I152" s="38" t="n">
        <v>0.06</v>
      </c>
      <c r="J152" s="44" t="n">
        <v>4</v>
      </c>
      <c r="K152" s="44" t="n">
        <v>37</v>
      </c>
      <c r="L152" s="43">
        <f>IFERROR(F152/F116-1,0)</f>
        <v/>
      </c>
      <c r="M152" s="13">
        <f>IF(L152&gt;=0,"Green",IF(ABS(L152)&lt;='00_Readme'!$B$14,"Amber","Red"))</f>
        <v/>
      </c>
    </row>
    <row r="153">
      <c r="A153" s="27" t="inlineStr">
        <is>
          <t>May 2026</t>
        </is>
      </c>
      <c r="B153" s="27" t="inlineStr">
        <is>
          <t>Jabodetabek</t>
        </is>
      </c>
      <c r="C153" s="27" t="inlineStr">
        <is>
          <t>Modern Trade</t>
        </is>
      </c>
      <c r="D153" s="27" t="inlineStr">
        <is>
          <t>Personal Care</t>
        </is>
      </c>
      <c r="E153" s="28" t="n">
        <v>571</v>
      </c>
      <c r="F153" s="44" t="n">
        <v>143</v>
      </c>
      <c r="G153" s="38" t="n">
        <v>0.5700000000000001</v>
      </c>
      <c r="H153" s="38" t="n">
        <v>0.66</v>
      </c>
      <c r="I153" s="38" t="n">
        <v>0.14</v>
      </c>
      <c r="J153" s="44" t="n">
        <v>5</v>
      </c>
      <c r="K153" s="44" t="n">
        <v>31</v>
      </c>
      <c r="L153" s="43">
        <f>IFERROR(F153/F117-1,0)</f>
        <v/>
      </c>
      <c r="M153" s="13">
        <f>IF(L153&gt;=0,"Green",IF(ABS(L153)&lt;='00_Readme'!$B$14,"Amber","Red"))</f>
        <v/>
      </c>
    </row>
    <row r="154">
      <c r="A154" s="27" t="inlineStr">
        <is>
          <t>May 2026</t>
        </is>
      </c>
      <c r="B154" s="27" t="inlineStr">
        <is>
          <t>Jabodetabek</t>
        </is>
      </c>
      <c r="C154" s="27" t="inlineStr">
        <is>
          <t>Modern Trade</t>
        </is>
      </c>
      <c r="D154" s="27" t="inlineStr">
        <is>
          <t>Home Care</t>
        </is>
      </c>
      <c r="E154" s="28" t="n">
        <v>609</v>
      </c>
      <c r="F154" s="44" t="n">
        <v>159</v>
      </c>
      <c r="G154" s="38" t="n">
        <v>0.5700000000000001</v>
      </c>
      <c r="H154" s="38" t="n">
        <v>0.67</v>
      </c>
      <c r="I154" s="38" t="n">
        <v>0.14</v>
      </c>
      <c r="J154" s="44" t="n">
        <v>5</v>
      </c>
      <c r="K154" s="44" t="n">
        <v>37</v>
      </c>
      <c r="L154" s="43">
        <f>IFERROR(F154/F118-1,0)</f>
        <v/>
      </c>
      <c r="M154" s="13">
        <f>IF(L154&gt;=0,"Green",IF(ABS(L154)&lt;='00_Readme'!$B$14,"Amber","Red"))</f>
        <v/>
      </c>
    </row>
    <row r="155">
      <c r="A155" s="27" t="inlineStr">
        <is>
          <t>May 2026</t>
        </is>
      </c>
      <c r="B155" s="27" t="inlineStr">
        <is>
          <t>Jabodetabek</t>
        </is>
      </c>
      <c r="C155" s="27" t="inlineStr">
        <is>
          <t>Modern Trade</t>
        </is>
      </c>
      <c r="D155" s="27" t="inlineStr">
        <is>
          <t>Beverages</t>
        </is>
      </c>
      <c r="E155" s="28" t="n">
        <v>647</v>
      </c>
      <c r="F155" s="44" t="n">
        <v>175</v>
      </c>
      <c r="G155" s="38" t="n">
        <v>0.5700000000000001</v>
      </c>
      <c r="H155" s="38" t="n">
        <v>0.68</v>
      </c>
      <c r="I155" s="38" t="n">
        <v>0.14</v>
      </c>
      <c r="J155" s="44" t="n">
        <v>6</v>
      </c>
      <c r="K155" s="44" t="n">
        <v>44</v>
      </c>
      <c r="L155" s="43">
        <f>IFERROR(F155/F119-1,0)</f>
        <v/>
      </c>
      <c r="M155" s="13">
        <f>IF(L155&gt;=0,"Green",IF(ABS(L155)&lt;='00_Readme'!$B$14,"Amber","Red"))</f>
        <v/>
      </c>
    </row>
    <row r="156">
      <c r="A156" s="27" t="inlineStr">
        <is>
          <t>May 2026</t>
        </is>
      </c>
      <c r="B156" s="27" t="inlineStr">
        <is>
          <t>Jabodetabek</t>
        </is>
      </c>
      <c r="C156" s="27" t="inlineStr">
        <is>
          <t>E-commerce</t>
        </is>
      </c>
      <c r="D156" s="27" t="inlineStr">
        <is>
          <t>Personal Care</t>
        </is>
      </c>
      <c r="E156" s="28" t="n">
        <v>646</v>
      </c>
      <c r="F156" s="44" t="n">
        <v>171</v>
      </c>
      <c r="G156" s="38" t="n">
        <v>0.61</v>
      </c>
      <c r="H156" s="38" t="n">
        <v>0.7</v>
      </c>
      <c r="I156" s="38" t="n">
        <v>0.22</v>
      </c>
      <c r="J156" s="44" t="n">
        <v>7</v>
      </c>
      <c r="K156" s="44" t="n">
        <v>38</v>
      </c>
      <c r="L156" s="43">
        <f>IFERROR(F156/F120-1,0)</f>
        <v/>
      </c>
      <c r="M156" s="13">
        <f>IF(L156&gt;=0,"Green",IF(ABS(L156)&lt;='00_Readme'!$B$14,"Amber","Red"))</f>
        <v/>
      </c>
    </row>
    <row r="157">
      <c r="A157" s="27" t="inlineStr">
        <is>
          <t>May 2026</t>
        </is>
      </c>
      <c r="B157" s="27" t="inlineStr">
        <is>
          <t>Jabodetabek</t>
        </is>
      </c>
      <c r="C157" s="27" t="inlineStr">
        <is>
          <t>E-commerce</t>
        </is>
      </c>
      <c r="D157" s="27" t="inlineStr">
        <is>
          <t>Home Care</t>
        </is>
      </c>
      <c r="E157" s="28" t="n">
        <v>684</v>
      </c>
      <c r="F157" s="44" t="n">
        <v>187</v>
      </c>
      <c r="G157" s="38" t="n">
        <v>0.61</v>
      </c>
      <c r="H157" s="38" t="n">
        <v>0.71</v>
      </c>
      <c r="I157" s="38" t="n">
        <v>0.22</v>
      </c>
      <c r="J157" s="44" t="n">
        <v>8</v>
      </c>
      <c r="K157" s="44" t="n">
        <v>44</v>
      </c>
      <c r="L157" s="43">
        <f>IFERROR(F157/F121-1,0)</f>
        <v/>
      </c>
      <c r="M157" s="13">
        <f>IF(L157&gt;=0,"Green",IF(ABS(L157)&lt;='00_Readme'!$B$14,"Amber","Red"))</f>
        <v/>
      </c>
    </row>
    <row r="158">
      <c r="A158" s="27" t="inlineStr">
        <is>
          <t>May 2026</t>
        </is>
      </c>
      <c r="B158" s="27" t="inlineStr">
        <is>
          <t>Jabodetabek</t>
        </is>
      </c>
      <c r="C158" s="27" t="inlineStr">
        <is>
          <t>E-commerce</t>
        </is>
      </c>
      <c r="D158" s="27" t="inlineStr">
        <is>
          <t>Beverages</t>
        </is>
      </c>
      <c r="E158" s="28" t="n">
        <v>722</v>
      </c>
      <c r="F158" s="44" t="n">
        <v>203</v>
      </c>
      <c r="G158" s="38" t="n">
        <v>0.61</v>
      </c>
      <c r="H158" s="38" t="n">
        <v>0.72</v>
      </c>
      <c r="I158" s="38" t="n">
        <v>0.22</v>
      </c>
      <c r="J158" s="44" t="n">
        <v>8</v>
      </c>
      <c r="K158" s="44" t="n">
        <v>51</v>
      </c>
      <c r="L158" s="43">
        <f>IFERROR(F158/F122-1,0)</f>
        <v/>
      </c>
      <c r="M158" s="13">
        <f>IF(L158&gt;=0,"Green",IF(ABS(L158)&lt;='00_Readme'!$B$14,"Amber","Red"))</f>
        <v/>
      </c>
    </row>
    <row r="159">
      <c r="A159" s="27" t="inlineStr">
        <is>
          <t>May 2026</t>
        </is>
      </c>
      <c r="B159" s="27" t="inlineStr">
        <is>
          <t>Jawa Barat</t>
        </is>
      </c>
      <c r="C159" s="27" t="inlineStr">
        <is>
          <t>General Trade</t>
        </is>
      </c>
      <c r="D159" s="27" t="inlineStr">
        <is>
          <t>Personal Care</t>
        </is>
      </c>
      <c r="E159" s="28" t="n">
        <v>548</v>
      </c>
      <c r="F159" s="44" t="n">
        <v>128</v>
      </c>
      <c r="G159" s="38" t="n">
        <v>0.5900000000000001</v>
      </c>
      <c r="H159" s="38" t="n">
        <v>0.68</v>
      </c>
      <c r="I159" s="38" t="n">
        <v>0.06</v>
      </c>
      <c r="J159" s="44" t="n">
        <v>3</v>
      </c>
      <c r="K159" s="44" t="n">
        <v>28</v>
      </c>
      <c r="L159" s="43">
        <f>IFERROR(F159/F123-1,0)</f>
        <v/>
      </c>
      <c r="M159" s="13">
        <f>IF(L159&gt;=0,"Green",IF(ABS(L159)&lt;='00_Readme'!$B$14,"Amber","Red"))</f>
        <v/>
      </c>
    </row>
    <row r="160">
      <c r="A160" s="27" t="inlineStr">
        <is>
          <t>May 2026</t>
        </is>
      </c>
      <c r="B160" s="27" t="inlineStr">
        <is>
          <t>Jawa Barat</t>
        </is>
      </c>
      <c r="C160" s="27" t="inlineStr">
        <is>
          <t>General Trade</t>
        </is>
      </c>
      <c r="D160" s="27" t="inlineStr">
        <is>
          <t>Home Care</t>
        </is>
      </c>
      <c r="E160" s="28" t="n">
        <v>586</v>
      </c>
      <c r="F160" s="44" t="n">
        <v>144</v>
      </c>
      <c r="G160" s="38" t="n">
        <v>0.5900000000000001</v>
      </c>
      <c r="H160" s="38" t="n">
        <v>0.6900000000000001</v>
      </c>
      <c r="I160" s="38" t="n">
        <v>0.06</v>
      </c>
      <c r="J160" s="44" t="n">
        <v>4</v>
      </c>
      <c r="K160" s="44" t="n">
        <v>34</v>
      </c>
      <c r="L160" s="43">
        <f>IFERROR(F160/F124-1,0)</f>
        <v/>
      </c>
      <c r="M160" s="13">
        <f>IF(L160&gt;=0,"Green",IF(ABS(L160)&lt;='00_Readme'!$B$14,"Amber","Red"))</f>
        <v/>
      </c>
    </row>
    <row r="161">
      <c r="A161" s="27" t="inlineStr">
        <is>
          <t>May 2026</t>
        </is>
      </c>
      <c r="B161" s="27" t="inlineStr">
        <is>
          <t>Jawa Barat</t>
        </is>
      </c>
      <c r="C161" s="27" t="inlineStr">
        <is>
          <t>General Trade</t>
        </is>
      </c>
      <c r="D161" s="27" t="inlineStr">
        <is>
          <t>Beverages</t>
        </is>
      </c>
      <c r="E161" s="28" t="n">
        <v>624</v>
      </c>
      <c r="F161" s="44" t="n">
        <v>160</v>
      </c>
      <c r="G161" s="38" t="n">
        <v>0.5900000000000001</v>
      </c>
      <c r="H161" s="38" t="n">
        <v>0.7000000000000001</v>
      </c>
      <c r="I161" s="38" t="n">
        <v>0.06</v>
      </c>
      <c r="J161" s="44" t="n">
        <v>4</v>
      </c>
      <c r="K161" s="44" t="n">
        <v>40</v>
      </c>
      <c r="L161" s="43">
        <f>IFERROR(F161/F125-1,0)</f>
        <v/>
      </c>
      <c r="M161" s="13">
        <f>IF(L161&gt;=0,"Green",IF(ABS(L161)&lt;='00_Readme'!$B$14,"Amber","Red"))</f>
        <v/>
      </c>
    </row>
    <row r="162">
      <c r="A162" s="27" t="inlineStr">
        <is>
          <t>May 2026</t>
        </is>
      </c>
      <c r="B162" s="27" t="inlineStr">
        <is>
          <t>Jawa Barat</t>
        </is>
      </c>
      <c r="C162" s="27" t="inlineStr">
        <is>
          <t>Modern Trade</t>
        </is>
      </c>
      <c r="D162" s="27" t="inlineStr">
        <is>
          <t>Personal Care</t>
        </is>
      </c>
      <c r="E162" s="28" t="n">
        <v>623</v>
      </c>
      <c r="F162" s="44" t="n">
        <v>156</v>
      </c>
      <c r="G162" s="38" t="n">
        <v>0.6300000000000001</v>
      </c>
      <c r="H162" s="38" t="n">
        <v>0.7200000000000001</v>
      </c>
      <c r="I162" s="38" t="n">
        <v>0.14</v>
      </c>
      <c r="J162" s="44" t="n">
        <v>5</v>
      </c>
      <c r="K162" s="44" t="n">
        <v>34</v>
      </c>
      <c r="L162" s="43">
        <f>IFERROR(F162/F126-1,0)</f>
        <v/>
      </c>
      <c r="M162" s="13">
        <f>IF(L162&gt;=0,"Green",IF(ABS(L162)&lt;='00_Readme'!$B$14,"Amber","Red"))</f>
        <v/>
      </c>
    </row>
    <row r="163">
      <c r="A163" s="27" t="inlineStr">
        <is>
          <t>May 2026</t>
        </is>
      </c>
      <c r="B163" s="27" t="inlineStr">
        <is>
          <t>Jawa Barat</t>
        </is>
      </c>
      <c r="C163" s="27" t="inlineStr">
        <is>
          <t>Modern Trade</t>
        </is>
      </c>
      <c r="D163" s="27" t="inlineStr">
        <is>
          <t>Home Care</t>
        </is>
      </c>
      <c r="E163" s="28" t="n">
        <v>661</v>
      </c>
      <c r="F163" s="44" t="n">
        <v>172</v>
      </c>
      <c r="G163" s="38" t="n">
        <v>0.6300000000000001</v>
      </c>
      <c r="H163" s="38" t="n">
        <v>0.7300000000000001</v>
      </c>
      <c r="I163" s="38" t="n">
        <v>0.14</v>
      </c>
      <c r="J163" s="44" t="n">
        <v>6</v>
      </c>
      <c r="K163" s="44" t="n">
        <v>40</v>
      </c>
      <c r="L163" s="43">
        <f>IFERROR(F163/F127-1,0)</f>
        <v/>
      </c>
      <c r="M163" s="13">
        <f>IF(L163&gt;=0,"Green",IF(ABS(L163)&lt;='00_Readme'!$B$14,"Amber","Red"))</f>
        <v/>
      </c>
    </row>
    <row r="164">
      <c r="A164" s="27" t="inlineStr">
        <is>
          <t>May 2026</t>
        </is>
      </c>
      <c r="B164" s="27" t="inlineStr">
        <is>
          <t>Jawa Barat</t>
        </is>
      </c>
      <c r="C164" s="27" t="inlineStr">
        <is>
          <t>Modern Trade</t>
        </is>
      </c>
      <c r="D164" s="27" t="inlineStr">
        <is>
          <t>Beverages</t>
        </is>
      </c>
      <c r="E164" s="28" t="n">
        <v>699</v>
      </c>
      <c r="F164" s="44" t="n">
        <v>188</v>
      </c>
      <c r="G164" s="38" t="n">
        <v>0.6300000000000001</v>
      </c>
      <c r="H164" s="38" t="n">
        <v>0.7400000000000001</v>
      </c>
      <c r="I164" s="38" t="n">
        <v>0.14</v>
      </c>
      <c r="J164" s="44" t="n">
        <v>6</v>
      </c>
      <c r="K164" s="44" t="n">
        <v>47</v>
      </c>
      <c r="L164" s="43">
        <f>IFERROR(F164/F128-1,0)</f>
        <v/>
      </c>
      <c r="M164" s="13">
        <f>IF(L164&gt;=0,"Green",IF(ABS(L164)&lt;='00_Readme'!$B$14,"Amber","Red"))</f>
        <v/>
      </c>
    </row>
    <row r="165">
      <c r="A165" s="27" t="inlineStr">
        <is>
          <t>May 2026</t>
        </is>
      </c>
      <c r="B165" s="27" t="inlineStr">
        <is>
          <t>Jawa Barat</t>
        </is>
      </c>
      <c r="C165" s="27" t="inlineStr">
        <is>
          <t>E-commerce</t>
        </is>
      </c>
      <c r="D165" s="27" t="inlineStr">
        <is>
          <t>Personal Care</t>
        </is>
      </c>
      <c r="E165" s="28" t="n">
        <v>698</v>
      </c>
      <c r="F165" s="44" t="n">
        <v>184</v>
      </c>
      <c r="G165" s="38" t="n">
        <v>0.67</v>
      </c>
      <c r="H165" s="38" t="n">
        <v>0.76</v>
      </c>
      <c r="I165" s="38" t="n">
        <v>0.22</v>
      </c>
      <c r="J165" s="44" t="n">
        <v>8</v>
      </c>
      <c r="K165" s="44" t="n">
        <v>40</v>
      </c>
      <c r="L165" s="43">
        <f>IFERROR(F165/F129-1,0)</f>
        <v/>
      </c>
      <c r="M165" s="13">
        <f>IF(L165&gt;=0,"Green",IF(ABS(L165)&lt;='00_Readme'!$B$14,"Amber","Red"))</f>
        <v/>
      </c>
    </row>
    <row r="166">
      <c r="A166" s="27" t="inlineStr">
        <is>
          <t>May 2026</t>
        </is>
      </c>
      <c r="B166" s="27" t="inlineStr">
        <is>
          <t>Jawa Barat</t>
        </is>
      </c>
      <c r="C166" s="27" t="inlineStr">
        <is>
          <t>E-commerce</t>
        </is>
      </c>
      <c r="D166" s="27" t="inlineStr">
        <is>
          <t>Home Care</t>
        </is>
      </c>
      <c r="E166" s="28" t="n">
        <v>736</v>
      </c>
      <c r="F166" s="44" t="n">
        <v>200</v>
      </c>
      <c r="G166" s="38" t="n">
        <v>0.67</v>
      </c>
      <c r="H166" s="38" t="n">
        <v>0.77</v>
      </c>
      <c r="I166" s="38" t="n">
        <v>0.22</v>
      </c>
      <c r="J166" s="44" t="n">
        <v>8</v>
      </c>
      <c r="K166" s="44" t="n">
        <v>47</v>
      </c>
      <c r="L166" s="43">
        <f>IFERROR(F166/F130-1,0)</f>
        <v/>
      </c>
      <c r="M166" s="13">
        <f>IF(L166&gt;=0,"Green",IF(ABS(L166)&lt;='00_Readme'!$B$14,"Amber","Red"))</f>
        <v/>
      </c>
    </row>
    <row r="167">
      <c r="A167" s="27" t="inlineStr">
        <is>
          <t>May 2026</t>
        </is>
      </c>
      <c r="B167" s="27" t="inlineStr">
        <is>
          <t>Jawa Barat</t>
        </is>
      </c>
      <c r="C167" s="27" t="inlineStr">
        <is>
          <t>E-commerce</t>
        </is>
      </c>
      <c r="D167" s="27" t="inlineStr">
        <is>
          <t>Beverages</t>
        </is>
      </c>
      <c r="E167" s="28" t="n">
        <v>774</v>
      </c>
      <c r="F167" s="44" t="n">
        <v>216</v>
      </c>
      <c r="G167" s="38" t="n">
        <v>0.67</v>
      </c>
      <c r="H167" s="38" t="n">
        <v>0.78</v>
      </c>
      <c r="I167" s="38" t="n">
        <v>0.22</v>
      </c>
      <c r="J167" s="44" t="n">
        <v>9</v>
      </c>
      <c r="K167" s="44" t="n">
        <v>54</v>
      </c>
      <c r="L167" s="43">
        <f>IFERROR(F167/F131-1,0)</f>
        <v/>
      </c>
      <c r="M167" s="13">
        <f>IF(L167&gt;=0,"Green",IF(ABS(L167)&lt;='00_Readme'!$B$14,"Amber","Red"))</f>
        <v/>
      </c>
    </row>
    <row r="168">
      <c r="A168" s="27" t="inlineStr">
        <is>
          <t>May 2026</t>
        </is>
      </c>
      <c r="B168" s="27" t="inlineStr">
        <is>
          <t>Jawa Tengah</t>
        </is>
      </c>
      <c r="C168" s="27" t="inlineStr">
        <is>
          <t>General Trade</t>
        </is>
      </c>
      <c r="D168" s="27" t="inlineStr">
        <is>
          <t>Personal Care</t>
        </is>
      </c>
      <c r="E168" s="28" t="n">
        <v>600</v>
      </c>
      <c r="F168" s="44" t="n">
        <v>141</v>
      </c>
      <c r="G168" s="38" t="n">
        <v>0.65</v>
      </c>
      <c r="H168" s="38" t="n">
        <v>0.74</v>
      </c>
      <c r="I168" s="38" t="n">
        <v>0.06</v>
      </c>
      <c r="J168" s="44" t="n">
        <v>4</v>
      </c>
      <c r="K168" s="44" t="n">
        <v>31</v>
      </c>
      <c r="L168" s="43">
        <f>IFERROR(F168/F132-1,0)</f>
        <v/>
      </c>
      <c r="M168" s="13">
        <f>IF(L168&gt;=0,"Green",IF(ABS(L168)&lt;='00_Readme'!$B$14,"Amber","Red"))</f>
        <v/>
      </c>
    </row>
    <row r="169">
      <c r="A169" s="27" t="inlineStr">
        <is>
          <t>May 2026</t>
        </is>
      </c>
      <c r="B169" s="27" t="inlineStr">
        <is>
          <t>Jawa Tengah</t>
        </is>
      </c>
      <c r="C169" s="27" t="inlineStr">
        <is>
          <t>General Trade</t>
        </is>
      </c>
      <c r="D169" s="27" t="inlineStr">
        <is>
          <t>Home Care</t>
        </is>
      </c>
      <c r="E169" s="28" t="n">
        <v>638</v>
      </c>
      <c r="F169" s="44" t="n">
        <v>157</v>
      </c>
      <c r="G169" s="38" t="n">
        <v>0.65</v>
      </c>
      <c r="H169" s="38" t="n">
        <v>0.75</v>
      </c>
      <c r="I169" s="38" t="n">
        <v>0.06</v>
      </c>
      <c r="J169" s="44" t="n">
        <v>4</v>
      </c>
      <c r="K169" s="44" t="n">
        <v>37</v>
      </c>
      <c r="L169" s="43">
        <f>IFERROR(F169/F133-1,0)</f>
        <v/>
      </c>
      <c r="M169" s="13">
        <f>IF(L169&gt;=0,"Green",IF(ABS(L169)&lt;='00_Readme'!$B$14,"Amber","Red"))</f>
        <v/>
      </c>
    </row>
    <row r="170">
      <c r="A170" s="27" t="inlineStr">
        <is>
          <t>May 2026</t>
        </is>
      </c>
      <c r="B170" s="27" t="inlineStr">
        <is>
          <t>Jawa Tengah</t>
        </is>
      </c>
      <c r="C170" s="27" t="inlineStr">
        <is>
          <t>General Trade</t>
        </is>
      </c>
      <c r="D170" s="27" t="inlineStr">
        <is>
          <t>Beverages</t>
        </is>
      </c>
      <c r="E170" s="28" t="n">
        <v>676</v>
      </c>
      <c r="F170" s="44" t="n">
        <v>173</v>
      </c>
      <c r="G170" s="38" t="n">
        <v>0.65</v>
      </c>
      <c r="H170" s="38" t="n">
        <v>0.76</v>
      </c>
      <c r="I170" s="38" t="n">
        <v>0.06</v>
      </c>
      <c r="J170" s="44" t="n">
        <v>4</v>
      </c>
      <c r="K170" s="44" t="n">
        <v>43</v>
      </c>
      <c r="L170" s="43">
        <f>IFERROR(F170/F134-1,0)</f>
        <v/>
      </c>
      <c r="M170" s="13">
        <f>IF(L170&gt;=0,"Green",IF(ABS(L170)&lt;='00_Readme'!$B$14,"Amber","Red"))</f>
        <v/>
      </c>
    </row>
    <row r="171">
      <c r="A171" s="27" t="inlineStr">
        <is>
          <t>May 2026</t>
        </is>
      </c>
      <c r="B171" s="27" t="inlineStr">
        <is>
          <t>Jawa Tengah</t>
        </is>
      </c>
      <c r="C171" s="27" t="inlineStr">
        <is>
          <t>Modern Trade</t>
        </is>
      </c>
      <c r="D171" s="27" t="inlineStr">
        <is>
          <t>Personal Care</t>
        </is>
      </c>
      <c r="E171" s="28" t="n">
        <v>675</v>
      </c>
      <c r="F171" s="44" t="n">
        <v>169</v>
      </c>
      <c r="G171" s="38" t="n">
        <v>0.6900000000000001</v>
      </c>
      <c r="H171" s="38" t="n">
        <v>0.78</v>
      </c>
      <c r="I171" s="38" t="n">
        <v>0.14</v>
      </c>
      <c r="J171" s="44" t="n">
        <v>6</v>
      </c>
      <c r="K171" s="44" t="n">
        <v>37</v>
      </c>
      <c r="L171" s="43">
        <f>IFERROR(F171/F135-1,0)</f>
        <v/>
      </c>
      <c r="M171" s="13">
        <f>IF(L171&gt;=0,"Green",IF(ABS(L171)&lt;='00_Readme'!$B$14,"Amber","Red"))</f>
        <v/>
      </c>
    </row>
    <row r="172">
      <c r="A172" s="27" t="inlineStr">
        <is>
          <t>May 2026</t>
        </is>
      </c>
      <c r="B172" s="27" t="inlineStr">
        <is>
          <t>Jawa Tengah</t>
        </is>
      </c>
      <c r="C172" s="27" t="inlineStr">
        <is>
          <t>Modern Trade</t>
        </is>
      </c>
      <c r="D172" s="27" t="inlineStr">
        <is>
          <t>Home Care</t>
        </is>
      </c>
      <c r="E172" s="28" t="n">
        <v>713</v>
      </c>
      <c r="F172" s="44" t="n">
        <v>185</v>
      </c>
      <c r="G172" s="38" t="n">
        <v>0.6900000000000001</v>
      </c>
      <c r="H172" s="38" t="n">
        <v>0.79</v>
      </c>
      <c r="I172" s="38" t="n">
        <v>0.14</v>
      </c>
      <c r="J172" s="44" t="n">
        <v>6</v>
      </c>
      <c r="K172" s="44" t="n">
        <v>43</v>
      </c>
      <c r="L172" s="43">
        <f>IFERROR(F172/F136-1,0)</f>
        <v/>
      </c>
      <c r="M172" s="13">
        <f>IF(L172&gt;=0,"Green",IF(ABS(L172)&lt;='00_Readme'!$B$14,"Amber","Red"))</f>
        <v/>
      </c>
    </row>
    <row r="173">
      <c r="A173" s="27" t="inlineStr">
        <is>
          <t>May 2026</t>
        </is>
      </c>
      <c r="B173" s="27" t="inlineStr">
        <is>
          <t>Jawa Tengah</t>
        </is>
      </c>
      <c r="C173" s="27" t="inlineStr">
        <is>
          <t>Modern Trade</t>
        </is>
      </c>
      <c r="D173" s="27" t="inlineStr">
        <is>
          <t>Beverages</t>
        </is>
      </c>
      <c r="E173" s="28" t="n">
        <v>751</v>
      </c>
      <c r="F173" s="44" t="n">
        <v>201</v>
      </c>
      <c r="G173" s="38" t="n">
        <v>0.6900000000000001</v>
      </c>
      <c r="H173" s="38" t="n">
        <v>0.8</v>
      </c>
      <c r="I173" s="38" t="n">
        <v>0.14</v>
      </c>
      <c r="J173" s="44" t="n">
        <v>7</v>
      </c>
      <c r="K173" s="44" t="n">
        <v>50</v>
      </c>
      <c r="L173" s="43">
        <f>IFERROR(F173/F137-1,0)</f>
        <v/>
      </c>
      <c r="M173" s="13">
        <f>IF(L173&gt;=0,"Green",IF(ABS(L173)&lt;='00_Readme'!$B$14,"Amber","Red"))</f>
        <v/>
      </c>
    </row>
    <row r="174">
      <c r="A174" s="27" t="inlineStr">
        <is>
          <t>May 2026</t>
        </is>
      </c>
      <c r="B174" s="27" t="inlineStr">
        <is>
          <t>Jawa Tengah</t>
        </is>
      </c>
      <c r="C174" s="27" t="inlineStr">
        <is>
          <t>E-commerce</t>
        </is>
      </c>
      <c r="D174" s="27" t="inlineStr">
        <is>
          <t>Personal Care</t>
        </is>
      </c>
      <c r="E174" s="28" t="n">
        <v>750</v>
      </c>
      <c r="F174" s="44" t="n">
        <v>197</v>
      </c>
      <c r="G174" s="38" t="n">
        <v>0.73</v>
      </c>
      <c r="H174" s="38" t="n">
        <v>0.82</v>
      </c>
      <c r="I174" s="38" t="n">
        <v>0.22</v>
      </c>
      <c r="J174" s="44" t="n">
        <v>8</v>
      </c>
      <c r="K174" s="44" t="n">
        <v>43</v>
      </c>
      <c r="L174" s="43">
        <f>IFERROR(F174/F138-1,0)</f>
        <v/>
      </c>
      <c r="M174" s="13">
        <f>IF(L174&gt;=0,"Green",IF(ABS(L174)&lt;='00_Readme'!$B$14,"Amber","Red"))</f>
        <v/>
      </c>
    </row>
    <row r="175">
      <c r="A175" s="27" t="inlineStr">
        <is>
          <t>May 2026</t>
        </is>
      </c>
      <c r="B175" s="27" t="inlineStr">
        <is>
          <t>Jawa Tengah</t>
        </is>
      </c>
      <c r="C175" s="27" t="inlineStr">
        <is>
          <t>E-commerce</t>
        </is>
      </c>
      <c r="D175" s="27" t="inlineStr">
        <is>
          <t>Home Care</t>
        </is>
      </c>
      <c r="E175" s="28" t="n">
        <v>788</v>
      </c>
      <c r="F175" s="44" t="n">
        <v>213</v>
      </c>
      <c r="G175" s="38" t="n">
        <v>0.73</v>
      </c>
      <c r="H175" s="38" t="n">
        <v>0.83</v>
      </c>
      <c r="I175" s="38" t="n">
        <v>0.22</v>
      </c>
      <c r="J175" s="44" t="n">
        <v>9</v>
      </c>
      <c r="K175" s="44" t="n">
        <v>50</v>
      </c>
      <c r="L175" s="43">
        <f>IFERROR(F175/F139-1,0)</f>
        <v/>
      </c>
      <c r="M175" s="13">
        <f>IF(L175&gt;=0,"Green",IF(ABS(L175)&lt;='00_Readme'!$B$14,"Amber","Red"))</f>
        <v/>
      </c>
    </row>
    <row r="176">
      <c r="A176" s="27" t="inlineStr">
        <is>
          <t>May 2026</t>
        </is>
      </c>
      <c r="B176" s="27" t="inlineStr">
        <is>
          <t>Jawa Tengah</t>
        </is>
      </c>
      <c r="C176" s="27" t="inlineStr">
        <is>
          <t>E-commerce</t>
        </is>
      </c>
      <c r="D176" s="27" t="inlineStr">
        <is>
          <t>Beverages</t>
        </is>
      </c>
      <c r="E176" s="28" t="n">
        <v>826</v>
      </c>
      <c r="F176" s="44" t="n">
        <v>229</v>
      </c>
      <c r="G176" s="38" t="n">
        <v>0.73</v>
      </c>
      <c r="H176" s="38" t="n">
        <v>0.84</v>
      </c>
      <c r="I176" s="38" t="n">
        <v>0.22</v>
      </c>
      <c r="J176" s="44" t="n">
        <v>9</v>
      </c>
      <c r="K176" s="44" t="n">
        <v>57</v>
      </c>
      <c r="L176" s="43">
        <f>IFERROR(F176/F140-1,0)</f>
        <v/>
      </c>
      <c r="M176" s="13">
        <f>IF(L176&gt;=0,"Green",IF(ABS(L176)&lt;='00_Readme'!$B$14,"Amber","Red"))</f>
        <v/>
      </c>
    </row>
    <row r="177">
      <c r="A177" s="27" t="inlineStr">
        <is>
          <t>May 2026</t>
        </is>
      </c>
      <c r="B177" s="27" t="inlineStr">
        <is>
          <t>Jawa Timur</t>
        </is>
      </c>
      <c r="C177" s="27" t="inlineStr">
        <is>
          <t>General Trade</t>
        </is>
      </c>
      <c r="D177" s="27" t="inlineStr">
        <is>
          <t>Personal Care</t>
        </is>
      </c>
      <c r="E177" s="28" t="n">
        <v>652</v>
      </c>
      <c r="F177" s="44" t="n">
        <v>154</v>
      </c>
      <c r="G177" s="38" t="n">
        <v>0.71</v>
      </c>
      <c r="H177" s="38" t="n">
        <v>0.7999999999999999</v>
      </c>
      <c r="I177" s="38" t="n">
        <v>0.06</v>
      </c>
      <c r="J177" s="44" t="n">
        <v>4</v>
      </c>
      <c r="K177" s="44" t="n">
        <v>34</v>
      </c>
      <c r="L177" s="43">
        <f>IFERROR(F177/F141-1,0)</f>
        <v/>
      </c>
      <c r="M177" s="13">
        <f>IF(L177&gt;=0,"Green",IF(ABS(L177)&lt;='00_Readme'!$B$14,"Amber","Red"))</f>
        <v/>
      </c>
    </row>
    <row r="178">
      <c r="A178" s="27" t="inlineStr">
        <is>
          <t>May 2026</t>
        </is>
      </c>
      <c r="B178" s="27" t="inlineStr">
        <is>
          <t>Jawa Timur</t>
        </is>
      </c>
      <c r="C178" s="27" t="inlineStr">
        <is>
          <t>General Trade</t>
        </is>
      </c>
      <c r="D178" s="27" t="inlineStr">
        <is>
          <t>Home Care</t>
        </is>
      </c>
      <c r="E178" s="28" t="n">
        <v>690</v>
      </c>
      <c r="F178" s="44" t="n">
        <v>170</v>
      </c>
      <c r="G178" s="38" t="n">
        <v>0.71</v>
      </c>
      <c r="H178" s="38" t="n">
        <v>0.8099999999999999</v>
      </c>
      <c r="I178" s="38" t="n">
        <v>0.06</v>
      </c>
      <c r="J178" s="44" t="n">
        <v>4</v>
      </c>
      <c r="K178" s="44" t="n">
        <v>40</v>
      </c>
      <c r="L178" s="43">
        <f>IFERROR(F178/F142-1,0)</f>
        <v/>
      </c>
      <c r="M178" s="13">
        <f>IF(L178&gt;=0,"Green",IF(ABS(L178)&lt;='00_Readme'!$B$14,"Amber","Red"))</f>
        <v/>
      </c>
    </row>
    <row r="179">
      <c r="A179" s="27" t="inlineStr">
        <is>
          <t>May 2026</t>
        </is>
      </c>
      <c r="B179" s="27" t="inlineStr">
        <is>
          <t>Jawa Timur</t>
        </is>
      </c>
      <c r="C179" s="27" t="inlineStr">
        <is>
          <t>General Trade</t>
        </is>
      </c>
      <c r="D179" s="27" t="inlineStr">
        <is>
          <t>Beverages</t>
        </is>
      </c>
      <c r="E179" s="28" t="n">
        <v>728</v>
      </c>
      <c r="F179" s="44" t="n">
        <v>186</v>
      </c>
      <c r="G179" s="38" t="n">
        <v>0.71</v>
      </c>
      <c r="H179" s="38" t="n">
        <v>0.82</v>
      </c>
      <c r="I179" s="38" t="n">
        <v>0.06</v>
      </c>
      <c r="J179" s="44" t="n">
        <v>5</v>
      </c>
      <c r="K179" s="44" t="n">
        <v>46</v>
      </c>
      <c r="L179" s="43">
        <f>IFERROR(F179/F143-1,0)</f>
        <v/>
      </c>
      <c r="M179" s="13">
        <f>IF(L179&gt;=0,"Green",IF(ABS(L179)&lt;='00_Readme'!$B$14,"Amber","Red"))</f>
        <v/>
      </c>
    </row>
    <row r="180">
      <c r="A180" s="27" t="inlineStr">
        <is>
          <t>May 2026</t>
        </is>
      </c>
      <c r="B180" s="27" t="inlineStr">
        <is>
          <t>Jawa Timur</t>
        </is>
      </c>
      <c r="C180" s="27" t="inlineStr">
        <is>
          <t>Modern Trade</t>
        </is>
      </c>
      <c r="D180" s="27" t="inlineStr">
        <is>
          <t>Personal Care</t>
        </is>
      </c>
      <c r="E180" s="28" t="n">
        <v>727</v>
      </c>
      <c r="F180" s="44" t="n">
        <v>182</v>
      </c>
      <c r="G180" s="38" t="n">
        <v>0.75</v>
      </c>
      <c r="H180" s="38" t="n">
        <v>0.84</v>
      </c>
      <c r="I180" s="38" t="n">
        <v>0.14</v>
      </c>
      <c r="J180" s="44" t="n">
        <v>6</v>
      </c>
      <c r="K180" s="44" t="n">
        <v>40</v>
      </c>
      <c r="L180" s="43">
        <f>IFERROR(F180/F144-1,0)</f>
        <v/>
      </c>
      <c r="M180" s="13">
        <f>IF(L180&gt;=0,"Green",IF(ABS(L180)&lt;='00_Readme'!$B$14,"Amber","Red"))</f>
        <v/>
      </c>
    </row>
    <row r="181">
      <c r="A181" s="27" t="inlineStr">
        <is>
          <t>May 2026</t>
        </is>
      </c>
      <c r="B181" s="27" t="inlineStr">
        <is>
          <t>Jawa Timur</t>
        </is>
      </c>
      <c r="C181" s="27" t="inlineStr">
        <is>
          <t>Modern Trade</t>
        </is>
      </c>
      <c r="D181" s="27" t="inlineStr">
        <is>
          <t>Home Care</t>
        </is>
      </c>
      <c r="E181" s="28" t="n">
        <v>765</v>
      </c>
      <c r="F181" s="44" t="n">
        <v>198</v>
      </c>
      <c r="G181" s="38" t="n">
        <v>0.75</v>
      </c>
      <c r="H181" s="38" t="n">
        <v>0.85</v>
      </c>
      <c r="I181" s="38" t="n">
        <v>0.14</v>
      </c>
      <c r="J181" s="44" t="n">
        <v>7</v>
      </c>
      <c r="K181" s="44" t="n">
        <v>47</v>
      </c>
      <c r="L181" s="43">
        <f>IFERROR(F181/F145-1,0)</f>
        <v/>
      </c>
      <c r="M181" s="13">
        <f>IF(L181&gt;=0,"Green",IF(ABS(L181)&lt;='00_Readme'!$B$14,"Amber","Red"))</f>
        <v/>
      </c>
    </row>
    <row r="182">
      <c r="A182" s="27" t="inlineStr">
        <is>
          <t>May 2026</t>
        </is>
      </c>
      <c r="B182" s="27" t="inlineStr">
        <is>
          <t>Jawa Timur</t>
        </is>
      </c>
      <c r="C182" s="27" t="inlineStr">
        <is>
          <t>Modern Trade</t>
        </is>
      </c>
      <c r="D182" s="27" t="inlineStr">
        <is>
          <t>Beverages</t>
        </is>
      </c>
      <c r="E182" s="28" t="n">
        <v>803</v>
      </c>
      <c r="F182" s="44" t="n">
        <v>214</v>
      </c>
      <c r="G182" s="38" t="n">
        <v>0.75</v>
      </c>
      <c r="H182" s="38" t="n">
        <v>0.86</v>
      </c>
      <c r="I182" s="38" t="n">
        <v>0.14</v>
      </c>
      <c r="J182" s="44" t="n">
        <v>7</v>
      </c>
      <c r="K182" s="44" t="n">
        <v>54</v>
      </c>
      <c r="L182" s="43">
        <f>IFERROR(F182/F146-1,0)</f>
        <v/>
      </c>
      <c r="M182" s="13">
        <f>IF(L182&gt;=0,"Green",IF(ABS(L182)&lt;='00_Readme'!$B$14,"Amber","Red"))</f>
        <v/>
      </c>
    </row>
    <row r="183">
      <c r="A183" s="27" t="inlineStr">
        <is>
          <t>May 2026</t>
        </is>
      </c>
      <c r="B183" s="27" t="inlineStr">
        <is>
          <t>Jawa Timur</t>
        </is>
      </c>
      <c r="C183" s="27" t="inlineStr">
        <is>
          <t>E-commerce</t>
        </is>
      </c>
      <c r="D183" s="27" t="inlineStr">
        <is>
          <t>Personal Care</t>
        </is>
      </c>
      <c r="E183" s="28" t="n">
        <v>802</v>
      </c>
      <c r="F183" s="44" t="n">
        <v>210</v>
      </c>
      <c r="G183" s="38" t="n">
        <v>0.7899999999999999</v>
      </c>
      <c r="H183" s="38" t="n">
        <v>0.8799999999999999</v>
      </c>
      <c r="I183" s="38" t="n">
        <v>0.22</v>
      </c>
      <c r="J183" s="44" t="n">
        <v>9</v>
      </c>
      <c r="K183" s="44" t="n">
        <v>46</v>
      </c>
      <c r="L183" s="43">
        <f>IFERROR(F183/F147-1,0)</f>
        <v/>
      </c>
      <c r="M183" s="13">
        <f>IF(L183&gt;=0,"Green",IF(ABS(L183)&lt;='00_Readme'!$B$14,"Amber","Red"))</f>
        <v/>
      </c>
    </row>
    <row r="184">
      <c r="A184" s="27" t="inlineStr">
        <is>
          <t>May 2026</t>
        </is>
      </c>
      <c r="B184" s="27" t="inlineStr">
        <is>
          <t>Jawa Timur</t>
        </is>
      </c>
      <c r="C184" s="27" t="inlineStr">
        <is>
          <t>E-commerce</t>
        </is>
      </c>
      <c r="D184" s="27" t="inlineStr">
        <is>
          <t>Home Care</t>
        </is>
      </c>
      <c r="E184" s="28" t="n">
        <v>840</v>
      </c>
      <c r="F184" s="44" t="n">
        <v>226</v>
      </c>
      <c r="G184" s="38" t="n">
        <v>0.7899999999999999</v>
      </c>
      <c r="H184" s="38" t="n">
        <v>0.8899999999999999</v>
      </c>
      <c r="I184" s="38" t="n">
        <v>0.22</v>
      </c>
      <c r="J184" s="44" t="n">
        <v>9</v>
      </c>
      <c r="K184" s="44" t="n">
        <v>53</v>
      </c>
      <c r="L184" s="43">
        <f>IFERROR(F184/F148-1,0)</f>
        <v/>
      </c>
      <c r="M184" s="13">
        <f>IF(L184&gt;=0,"Green",IF(ABS(L184)&lt;='00_Readme'!$B$14,"Amber","Red"))</f>
        <v/>
      </c>
    </row>
    <row r="185">
      <c r="A185" s="27" t="inlineStr">
        <is>
          <t>May 2026</t>
        </is>
      </c>
      <c r="B185" s="27" t="inlineStr">
        <is>
          <t>Jawa Timur</t>
        </is>
      </c>
      <c r="C185" s="27" t="inlineStr">
        <is>
          <t>E-commerce</t>
        </is>
      </c>
      <c r="D185" s="27" t="inlineStr">
        <is>
          <t>Beverages</t>
        </is>
      </c>
      <c r="E185" s="28" t="n">
        <v>878</v>
      </c>
      <c r="F185" s="44" t="n">
        <v>242</v>
      </c>
      <c r="G185" s="38" t="n">
        <v>0.7899999999999999</v>
      </c>
      <c r="H185" s="38" t="n">
        <v>0.8999999999999999</v>
      </c>
      <c r="I185" s="38" t="n">
        <v>0.22</v>
      </c>
      <c r="J185" s="44" t="n">
        <v>10</v>
      </c>
      <c r="K185" s="44" t="n">
        <v>60</v>
      </c>
      <c r="L185" s="43">
        <f>IFERROR(F185/F149-1,0)</f>
        <v/>
      </c>
      <c r="M185" s="13">
        <f>IF(L185&gt;=0,"Green",IF(ABS(L185)&lt;='00_Readme'!$B$14,"Amber","Red"))</f>
        <v/>
      </c>
    </row>
    <row r="186">
      <c r="A186" s="27" t="inlineStr">
        <is>
          <t>Jun 2026</t>
        </is>
      </c>
      <c r="B186" s="27" t="inlineStr">
        <is>
          <t>Jabodetabek</t>
        </is>
      </c>
      <c r="C186" s="27" t="inlineStr">
        <is>
          <t>General Trade</t>
        </is>
      </c>
      <c r="D186" s="27" t="inlineStr">
        <is>
          <t>Personal Care</t>
        </is>
      </c>
      <c r="E186" s="28" t="n">
        <v>534</v>
      </c>
      <c r="F186" s="44" t="n">
        <v>127</v>
      </c>
      <c r="G186" s="38" t="n">
        <v>0.54</v>
      </c>
      <c r="H186" s="38" t="n">
        <v>0.63</v>
      </c>
      <c r="I186" s="38" t="n">
        <v>0.06999999999999999</v>
      </c>
      <c r="J186" s="44" t="n">
        <v>3</v>
      </c>
      <c r="K186" s="44" t="n">
        <v>28</v>
      </c>
      <c r="L186" s="43">
        <f>IFERROR(F186/F150-1,0)</f>
        <v/>
      </c>
      <c r="M186" s="13">
        <f>IF(L186&gt;=0,"Green",IF(ABS(L186)&lt;='00_Readme'!$B$14,"Amber","Red"))</f>
        <v/>
      </c>
    </row>
    <row r="187">
      <c r="A187" s="27" t="inlineStr">
        <is>
          <t>Jun 2026</t>
        </is>
      </c>
      <c r="B187" s="27" t="inlineStr">
        <is>
          <t>Jabodetabek</t>
        </is>
      </c>
      <c r="C187" s="27" t="inlineStr">
        <is>
          <t>General Trade</t>
        </is>
      </c>
      <c r="D187" s="27" t="inlineStr">
        <is>
          <t>Home Care</t>
        </is>
      </c>
      <c r="E187" s="28" t="n">
        <v>572</v>
      </c>
      <c r="F187" s="44" t="n">
        <v>143</v>
      </c>
      <c r="G187" s="38" t="n">
        <v>0.54</v>
      </c>
      <c r="H187" s="38" t="n">
        <v>0.64</v>
      </c>
      <c r="I187" s="38" t="n">
        <v>0.06999999999999999</v>
      </c>
      <c r="J187" s="44" t="n">
        <v>4</v>
      </c>
      <c r="K187" s="44" t="n">
        <v>34</v>
      </c>
      <c r="L187" s="43">
        <f>IFERROR(F187/F151-1,0)</f>
        <v/>
      </c>
      <c r="M187" s="13">
        <f>IF(L187&gt;=0,"Green",IF(ABS(L187)&lt;='00_Readme'!$B$14,"Amber","Red"))</f>
        <v/>
      </c>
    </row>
    <row r="188">
      <c r="A188" s="27" t="inlineStr">
        <is>
          <t>Jun 2026</t>
        </is>
      </c>
      <c r="B188" s="27" t="inlineStr">
        <is>
          <t>Jabodetabek</t>
        </is>
      </c>
      <c r="C188" s="27" t="inlineStr">
        <is>
          <t>General Trade</t>
        </is>
      </c>
      <c r="D188" s="27" t="inlineStr">
        <is>
          <t>Beverages</t>
        </is>
      </c>
      <c r="E188" s="28" t="n">
        <v>610</v>
      </c>
      <c r="F188" s="44" t="n">
        <v>159</v>
      </c>
      <c r="G188" s="38" t="n">
        <v>0.54</v>
      </c>
      <c r="H188" s="38" t="n">
        <v>0.65</v>
      </c>
      <c r="I188" s="38" t="n">
        <v>0.06999999999999999</v>
      </c>
      <c r="J188" s="44" t="n">
        <v>4</v>
      </c>
      <c r="K188" s="44" t="n">
        <v>40</v>
      </c>
      <c r="L188" s="43">
        <f>IFERROR(F188/F152-1,0)</f>
        <v/>
      </c>
      <c r="M188" s="13">
        <f>IF(L188&gt;=0,"Green",IF(ABS(L188)&lt;='00_Readme'!$B$14,"Amber","Red"))</f>
        <v/>
      </c>
    </row>
    <row r="189">
      <c r="A189" s="27" t="inlineStr">
        <is>
          <t>Jun 2026</t>
        </is>
      </c>
      <c r="B189" s="27" t="inlineStr">
        <is>
          <t>Jabodetabek</t>
        </is>
      </c>
      <c r="C189" s="27" t="inlineStr">
        <is>
          <t>Modern Trade</t>
        </is>
      </c>
      <c r="D189" s="27" t="inlineStr">
        <is>
          <t>Personal Care</t>
        </is>
      </c>
      <c r="E189" s="28" t="n">
        <v>609</v>
      </c>
      <c r="F189" s="44" t="n">
        <v>155</v>
      </c>
      <c r="G189" s="38" t="n">
        <v>0.5800000000000001</v>
      </c>
      <c r="H189" s="38" t="n">
        <v>0.67</v>
      </c>
      <c r="I189" s="38" t="n">
        <v>0.15</v>
      </c>
      <c r="J189" s="44" t="n">
        <v>5</v>
      </c>
      <c r="K189" s="44" t="n">
        <v>34</v>
      </c>
      <c r="L189" s="43">
        <f>IFERROR(F189/F153-1,0)</f>
        <v/>
      </c>
      <c r="M189" s="13">
        <f>IF(L189&gt;=0,"Green",IF(ABS(L189)&lt;='00_Readme'!$B$14,"Amber","Red"))</f>
        <v/>
      </c>
    </row>
    <row r="190">
      <c r="A190" s="27" t="inlineStr">
        <is>
          <t>Jun 2026</t>
        </is>
      </c>
      <c r="B190" s="27" t="inlineStr">
        <is>
          <t>Jabodetabek</t>
        </is>
      </c>
      <c r="C190" s="27" t="inlineStr">
        <is>
          <t>Modern Trade</t>
        </is>
      </c>
      <c r="D190" s="27" t="inlineStr">
        <is>
          <t>Home Care</t>
        </is>
      </c>
      <c r="E190" s="28" t="n">
        <v>647</v>
      </c>
      <c r="F190" s="44" t="n">
        <v>171</v>
      </c>
      <c r="G190" s="38" t="n">
        <v>0.5800000000000001</v>
      </c>
      <c r="H190" s="38" t="n">
        <v>0.68</v>
      </c>
      <c r="I190" s="38" t="n">
        <v>0.15</v>
      </c>
      <c r="J190" s="44" t="n">
        <v>6</v>
      </c>
      <c r="K190" s="44" t="n">
        <v>40</v>
      </c>
      <c r="L190" s="43">
        <f>IFERROR(F190/F154-1,0)</f>
        <v/>
      </c>
      <c r="M190" s="13">
        <f>IF(L190&gt;=0,"Green",IF(ABS(L190)&lt;='00_Readme'!$B$14,"Amber","Red"))</f>
        <v/>
      </c>
    </row>
    <row r="191">
      <c r="A191" s="27" t="inlineStr">
        <is>
          <t>Jun 2026</t>
        </is>
      </c>
      <c r="B191" s="27" t="inlineStr">
        <is>
          <t>Jabodetabek</t>
        </is>
      </c>
      <c r="C191" s="27" t="inlineStr">
        <is>
          <t>Modern Trade</t>
        </is>
      </c>
      <c r="D191" s="27" t="inlineStr">
        <is>
          <t>Beverages</t>
        </is>
      </c>
      <c r="E191" s="28" t="n">
        <v>685</v>
      </c>
      <c r="F191" s="44" t="n">
        <v>187</v>
      </c>
      <c r="G191" s="38" t="n">
        <v>0.5800000000000001</v>
      </c>
      <c r="H191" s="38" t="n">
        <v>0.6900000000000001</v>
      </c>
      <c r="I191" s="38" t="n">
        <v>0.15</v>
      </c>
      <c r="J191" s="44" t="n">
        <v>6</v>
      </c>
      <c r="K191" s="44" t="n">
        <v>47</v>
      </c>
      <c r="L191" s="43">
        <f>IFERROR(F191/F155-1,0)</f>
        <v/>
      </c>
      <c r="M191" s="13">
        <f>IF(L191&gt;=0,"Green",IF(ABS(L191)&lt;='00_Readme'!$B$14,"Amber","Red"))</f>
        <v/>
      </c>
    </row>
    <row r="192">
      <c r="A192" s="27" t="inlineStr">
        <is>
          <t>Jun 2026</t>
        </is>
      </c>
      <c r="B192" s="27" t="inlineStr">
        <is>
          <t>Jabodetabek</t>
        </is>
      </c>
      <c r="C192" s="27" t="inlineStr">
        <is>
          <t>E-commerce</t>
        </is>
      </c>
      <c r="D192" s="27" t="inlineStr">
        <is>
          <t>Personal Care</t>
        </is>
      </c>
      <c r="E192" s="28" t="n">
        <v>684</v>
      </c>
      <c r="F192" s="44" t="n">
        <v>183</v>
      </c>
      <c r="G192" s="38" t="n">
        <v>0.62</v>
      </c>
      <c r="H192" s="38" t="n">
        <v>0.71</v>
      </c>
      <c r="I192" s="38" t="n">
        <v>0.23</v>
      </c>
      <c r="J192" s="44" t="n">
        <v>8</v>
      </c>
      <c r="K192" s="44" t="n">
        <v>40</v>
      </c>
      <c r="L192" s="43">
        <f>IFERROR(F192/F156-1,0)</f>
        <v/>
      </c>
      <c r="M192" s="13">
        <f>IF(L192&gt;=0,"Green",IF(ABS(L192)&lt;='00_Readme'!$B$14,"Amber","Red"))</f>
        <v/>
      </c>
    </row>
    <row r="193">
      <c r="A193" s="27" t="inlineStr">
        <is>
          <t>Jun 2026</t>
        </is>
      </c>
      <c r="B193" s="27" t="inlineStr">
        <is>
          <t>Jabodetabek</t>
        </is>
      </c>
      <c r="C193" s="27" t="inlineStr">
        <is>
          <t>E-commerce</t>
        </is>
      </c>
      <c r="D193" s="27" t="inlineStr">
        <is>
          <t>Home Care</t>
        </is>
      </c>
      <c r="E193" s="28" t="n">
        <v>722</v>
      </c>
      <c r="F193" s="44" t="n">
        <v>199</v>
      </c>
      <c r="G193" s="38" t="n">
        <v>0.62</v>
      </c>
      <c r="H193" s="38" t="n">
        <v>0.72</v>
      </c>
      <c r="I193" s="38" t="n">
        <v>0.23</v>
      </c>
      <c r="J193" s="44" t="n">
        <v>8</v>
      </c>
      <c r="K193" s="44" t="n">
        <v>47</v>
      </c>
      <c r="L193" s="43">
        <f>IFERROR(F193/F157-1,0)</f>
        <v/>
      </c>
      <c r="M193" s="13">
        <f>IF(L193&gt;=0,"Green",IF(ABS(L193)&lt;='00_Readme'!$B$14,"Amber","Red"))</f>
        <v/>
      </c>
    </row>
    <row r="194">
      <c r="A194" s="27" t="inlineStr">
        <is>
          <t>Jun 2026</t>
        </is>
      </c>
      <c r="B194" s="27" t="inlineStr">
        <is>
          <t>Jabodetabek</t>
        </is>
      </c>
      <c r="C194" s="27" t="inlineStr">
        <is>
          <t>E-commerce</t>
        </is>
      </c>
      <c r="D194" s="27" t="inlineStr">
        <is>
          <t>Beverages</t>
        </is>
      </c>
      <c r="E194" s="28" t="n">
        <v>760</v>
      </c>
      <c r="F194" s="44" t="n">
        <v>215</v>
      </c>
      <c r="G194" s="38" t="n">
        <v>0.62</v>
      </c>
      <c r="H194" s="38" t="n">
        <v>0.73</v>
      </c>
      <c r="I194" s="38" t="n">
        <v>0.23</v>
      </c>
      <c r="J194" s="44" t="n">
        <v>9</v>
      </c>
      <c r="K194" s="44" t="n">
        <v>54</v>
      </c>
      <c r="L194" s="43">
        <f>IFERROR(F194/F158-1,0)</f>
        <v/>
      </c>
      <c r="M194" s="13">
        <f>IF(L194&gt;=0,"Green",IF(ABS(L194)&lt;='00_Readme'!$B$14,"Amber","Red"))</f>
        <v/>
      </c>
    </row>
    <row r="195">
      <c r="A195" s="27" t="inlineStr">
        <is>
          <t>Jun 2026</t>
        </is>
      </c>
      <c r="B195" s="27" t="inlineStr">
        <is>
          <t>Jawa Barat</t>
        </is>
      </c>
      <c r="C195" s="27" t="inlineStr">
        <is>
          <t>General Trade</t>
        </is>
      </c>
      <c r="D195" s="27" t="inlineStr">
        <is>
          <t>Personal Care</t>
        </is>
      </c>
      <c r="E195" s="28" t="n">
        <v>586</v>
      </c>
      <c r="F195" s="44" t="n">
        <v>140</v>
      </c>
      <c r="G195" s="38" t="n">
        <v>0.6000000000000001</v>
      </c>
      <c r="H195" s="38" t="n">
        <v>0.6900000000000001</v>
      </c>
      <c r="I195" s="38" t="n">
        <v>0.06999999999999999</v>
      </c>
      <c r="J195" s="44" t="n">
        <v>4</v>
      </c>
      <c r="K195" s="44" t="n">
        <v>31</v>
      </c>
      <c r="L195" s="43">
        <f>IFERROR(F195/F159-1,0)</f>
        <v/>
      </c>
      <c r="M195" s="13">
        <f>IF(L195&gt;=0,"Green",IF(ABS(L195)&lt;='00_Readme'!$B$14,"Amber","Red"))</f>
        <v/>
      </c>
    </row>
    <row r="196">
      <c r="A196" s="27" t="inlineStr">
        <is>
          <t>Jun 2026</t>
        </is>
      </c>
      <c r="B196" s="27" t="inlineStr">
        <is>
          <t>Jawa Barat</t>
        </is>
      </c>
      <c r="C196" s="27" t="inlineStr">
        <is>
          <t>General Trade</t>
        </is>
      </c>
      <c r="D196" s="27" t="inlineStr">
        <is>
          <t>Home Care</t>
        </is>
      </c>
      <c r="E196" s="28" t="n">
        <v>624</v>
      </c>
      <c r="F196" s="44" t="n">
        <v>156</v>
      </c>
      <c r="G196" s="38" t="n">
        <v>0.6000000000000001</v>
      </c>
      <c r="H196" s="38" t="n">
        <v>0.7000000000000001</v>
      </c>
      <c r="I196" s="38" t="n">
        <v>0.06999999999999999</v>
      </c>
      <c r="J196" s="44" t="n">
        <v>4</v>
      </c>
      <c r="K196" s="44" t="n">
        <v>37</v>
      </c>
      <c r="L196" s="43">
        <f>IFERROR(F196/F160-1,0)</f>
        <v/>
      </c>
      <c r="M196" s="13">
        <f>IF(L196&gt;=0,"Green",IF(ABS(L196)&lt;='00_Readme'!$B$14,"Amber","Red"))</f>
        <v/>
      </c>
    </row>
    <row r="197">
      <c r="A197" s="27" t="inlineStr">
        <is>
          <t>Jun 2026</t>
        </is>
      </c>
      <c r="B197" s="27" t="inlineStr">
        <is>
          <t>Jawa Barat</t>
        </is>
      </c>
      <c r="C197" s="27" t="inlineStr">
        <is>
          <t>General Trade</t>
        </is>
      </c>
      <c r="D197" s="27" t="inlineStr">
        <is>
          <t>Beverages</t>
        </is>
      </c>
      <c r="E197" s="28" t="n">
        <v>662</v>
      </c>
      <c r="F197" s="44" t="n">
        <v>172</v>
      </c>
      <c r="G197" s="38" t="n">
        <v>0.6000000000000001</v>
      </c>
      <c r="H197" s="38" t="n">
        <v>0.7100000000000001</v>
      </c>
      <c r="I197" s="38" t="n">
        <v>0.06999999999999999</v>
      </c>
      <c r="J197" s="44" t="n">
        <v>4</v>
      </c>
      <c r="K197" s="44" t="n">
        <v>43</v>
      </c>
      <c r="L197" s="43">
        <f>IFERROR(F197/F161-1,0)</f>
        <v/>
      </c>
      <c r="M197" s="13">
        <f>IF(L197&gt;=0,"Green",IF(ABS(L197)&lt;='00_Readme'!$B$14,"Amber","Red"))</f>
        <v/>
      </c>
    </row>
    <row r="198">
      <c r="A198" s="27" t="inlineStr">
        <is>
          <t>Jun 2026</t>
        </is>
      </c>
      <c r="B198" s="27" t="inlineStr">
        <is>
          <t>Jawa Barat</t>
        </is>
      </c>
      <c r="C198" s="27" t="inlineStr">
        <is>
          <t>Modern Trade</t>
        </is>
      </c>
      <c r="D198" s="27" t="inlineStr">
        <is>
          <t>Personal Care</t>
        </is>
      </c>
      <c r="E198" s="28" t="n">
        <v>661</v>
      </c>
      <c r="F198" s="44" t="n">
        <v>168</v>
      </c>
      <c r="G198" s="38" t="n">
        <v>0.6400000000000001</v>
      </c>
      <c r="H198" s="38" t="n">
        <v>0.7300000000000001</v>
      </c>
      <c r="I198" s="38" t="n">
        <v>0.15</v>
      </c>
      <c r="J198" s="44" t="n">
        <v>6</v>
      </c>
      <c r="K198" s="44" t="n">
        <v>37</v>
      </c>
      <c r="L198" s="43">
        <f>IFERROR(F198/F162-1,0)</f>
        <v/>
      </c>
      <c r="M198" s="13">
        <f>IF(L198&gt;=0,"Green",IF(ABS(L198)&lt;='00_Readme'!$B$14,"Amber","Red"))</f>
        <v/>
      </c>
    </row>
    <row r="199">
      <c r="A199" s="27" t="inlineStr">
        <is>
          <t>Jun 2026</t>
        </is>
      </c>
      <c r="B199" s="27" t="inlineStr">
        <is>
          <t>Jawa Barat</t>
        </is>
      </c>
      <c r="C199" s="27" t="inlineStr">
        <is>
          <t>Modern Trade</t>
        </is>
      </c>
      <c r="D199" s="27" t="inlineStr">
        <is>
          <t>Home Care</t>
        </is>
      </c>
      <c r="E199" s="28" t="n">
        <v>699</v>
      </c>
      <c r="F199" s="44" t="n">
        <v>184</v>
      </c>
      <c r="G199" s="38" t="n">
        <v>0.6400000000000001</v>
      </c>
      <c r="H199" s="38" t="n">
        <v>0.7400000000000001</v>
      </c>
      <c r="I199" s="38" t="n">
        <v>0.15</v>
      </c>
      <c r="J199" s="44" t="n">
        <v>6</v>
      </c>
      <c r="K199" s="44" t="n">
        <v>43</v>
      </c>
      <c r="L199" s="43">
        <f>IFERROR(F199/F163-1,0)</f>
        <v/>
      </c>
      <c r="M199" s="13">
        <f>IF(L199&gt;=0,"Green",IF(ABS(L199)&lt;='00_Readme'!$B$14,"Amber","Red"))</f>
        <v/>
      </c>
    </row>
    <row r="200">
      <c r="A200" s="27" t="inlineStr">
        <is>
          <t>Jun 2026</t>
        </is>
      </c>
      <c r="B200" s="27" t="inlineStr">
        <is>
          <t>Jawa Barat</t>
        </is>
      </c>
      <c r="C200" s="27" t="inlineStr">
        <is>
          <t>Modern Trade</t>
        </is>
      </c>
      <c r="D200" s="27" t="inlineStr">
        <is>
          <t>Beverages</t>
        </is>
      </c>
      <c r="E200" s="28" t="n">
        <v>737</v>
      </c>
      <c r="F200" s="44" t="n">
        <v>200</v>
      </c>
      <c r="G200" s="38" t="n">
        <v>0.6400000000000001</v>
      </c>
      <c r="H200" s="38" t="n">
        <v>0.7500000000000001</v>
      </c>
      <c r="I200" s="38" t="n">
        <v>0.15</v>
      </c>
      <c r="J200" s="44" t="n">
        <v>7</v>
      </c>
      <c r="K200" s="44" t="n">
        <v>50</v>
      </c>
      <c r="L200" s="43">
        <f>IFERROR(F200/F164-1,0)</f>
        <v/>
      </c>
      <c r="M200" s="13">
        <f>IF(L200&gt;=0,"Green",IF(ABS(L200)&lt;='00_Readme'!$B$14,"Amber","Red"))</f>
        <v/>
      </c>
    </row>
    <row r="201">
      <c r="A201" s="27" t="inlineStr">
        <is>
          <t>Jun 2026</t>
        </is>
      </c>
      <c r="B201" s="27" t="inlineStr">
        <is>
          <t>Jawa Barat</t>
        </is>
      </c>
      <c r="C201" s="27" t="inlineStr">
        <is>
          <t>E-commerce</t>
        </is>
      </c>
      <c r="D201" s="27" t="inlineStr">
        <is>
          <t>Personal Care</t>
        </is>
      </c>
      <c r="E201" s="28" t="n">
        <v>736</v>
      </c>
      <c r="F201" s="44" t="n">
        <v>196</v>
      </c>
      <c r="G201" s="38" t="n">
        <v>0.68</v>
      </c>
      <c r="H201" s="38" t="n">
        <v>0.77</v>
      </c>
      <c r="I201" s="38" t="n">
        <v>0.23</v>
      </c>
      <c r="J201" s="44" t="n">
        <v>8</v>
      </c>
      <c r="K201" s="44" t="n">
        <v>43</v>
      </c>
      <c r="L201" s="43">
        <f>IFERROR(F201/F165-1,0)</f>
        <v/>
      </c>
      <c r="M201" s="13">
        <f>IF(L201&gt;=0,"Green",IF(ABS(L201)&lt;='00_Readme'!$B$14,"Amber","Red"))</f>
        <v/>
      </c>
    </row>
    <row r="202">
      <c r="A202" s="27" t="inlineStr">
        <is>
          <t>Jun 2026</t>
        </is>
      </c>
      <c r="B202" s="27" t="inlineStr">
        <is>
          <t>Jawa Barat</t>
        </is>
      </c>
      <c r="C202" s="27" t="inlineStr">
        <is>
          <t>E-commerce</t>
        </is>
      </c>
      <c r="D202" s="27" t="inlineStr">
        <is>
          <t>Home Care</t>
        </is>
      </c>
      <c r="E202" s="28" t="n">
        <v>774</v>
      </c>
      <c r="F202" s="44" t="n">
        <v>212</v>
      </c>
      <c r="G202" s="38" t="n">
        <v>0.68</v>
      </c>
      <c r="H202" s="38" t="n">
        <v>0.78</v>
      </c>
      <c r="I202" s="38" t="n">
        <v>0.23</v>
      </c>
      <c r="J202" s="44" t="n">
        <v>9</v>
      </c>
      <c r="K202" s="44" t="n">
        <v>50</v>
      </c>
      <c r="L202" s="43">
        <f>IFERROR(F202/F166-1,0)</f>
        <v/>
      </c>
      <c r="M202" s="13">
        <f>IF(L202&gt;=0,"Green",IF(ABS(L202)&lt;='00_Readme'!$B$14,"Amber","Red"))</f>
        <v/>
      </c>
    </row>
    <row r="203">
      <c r="A203" s="27" t="inlineStr">
        <is>
          <t>Jun 2026</t>
        </is>
      </c>
      <c r="B203" s="27" t="inlineStr">
        <is>
          <t>Jawa Barat</t>
        </is>
      </c>
      <c r="C203" s="27" t="inlineStr">
        <is>
          <t>E-commerce</t>
        </is>
      </c>
      <c r="D203" s="27" t="inlineStr">
        <is>
          <t>Beverages</t>
        </is>
      </c>
      <c r="E203" s="28" t="n">
        <v>812</v>
      </c>
      <c r="F203" s="44" t="n">
        <v>228</v>
      </c>
      <c r="G203" s="38" t="n">
        <v>0.68</v>
      </c>
      <c r="H203" s="38" t="n">
        <v>0.79</v>
      </c>
      <c r="I203" s="38" t="n">
        <v>0.23</v>
      </c>
      <c r="J203" s="44" t="n">
        <v>9</v>
      </c>
      <c r="K203" s="44" t="n">
        <v>57</v>
      </c>
      <c r="L203" s="43">
        <f>IFERROR(F203/F167-1,0)</f>
        <v/>
      </c>
      <c r="M203" s="13">
        <f>IF(L203&gt;=0,"Green",IF(ABS(L203)&lt;='00_Readme'!$B$14,"Amber","Red"))</f>
        <v/>
      </c>
    </row>
    <row r="204">
      <c r="A204" s="27" t="inlineStr">
        <is>
          <t>Jun 2026</t>
        </is>
      </c>
      <c r="B204" s="27" t="inlineStr">
        <is>
          <t>Jawa Tengah</t>
        </is>
      </c>
      <c r="C204" s="27" t="inlineStr">
        <is>
          <t>General Trade</t>
        </is>
      </c>
      <c r="D204" s="27" t="inlineStr">
        <is>
          <t>Personal Care</t>
        </is>
      </c>
      <c r="E204" s="28" t="n">
        <v>638</v>
      </c>
      <c r="F204" s="44" t="n">
        <v>153</v>
      </c>
      <c r="G204" s="38" t="n">
        <v>0.66</v>
      </c>
      <c r="H204" s="38" t="n">
        <v>0.75</v>
      </c>
      <c r="I204" s="38" t="n">
        <v>0.06999999999999999</v>
      </c>
      <c r="J204" s="44" t="n">
        <v>4</v>
      </c>
      <c r="K204" s="44" t="n">
        <v>34</v>
      </c>
      <c r="L204" s="43">
        <f>IFERROR(F204/F168-1,0)</f>
        <v/>
      </c>
      <c r="M204" s="13">
        <f>IF(L204&gt;=0,"Green",IF(ABS(L204)&lt;='00_Readme'!$B$14,"Amber","Red"))</f>
        <v/>
      </c>
    </row>
    <row r="205">
      <c r="A205" s="27" t="inlineStr">
        <is>
          <t>Jun 2026</t>
        </is>
      </c>
      <c r="B205" s="27" t="inlineStr">
        <is>
          <t>Jawa Tengah</t>
        </is>
      </c>
      <c r="C205" s="27" t="inlineStr">
        <is>
          <t>General Trade</t>
        </is>
      </c>
      <c r="D205" s="27" t="inlineStr">
        <is>
          <t>Home Care</t>
        </is>
      </c>
      <c r="E205" s="28" t="n">
        <v>676</v>
      </c>
      <c r="F205" s="44" t="n">
        <v>169</v>
      </c>
      <c r="G205" s="38" t="n">
        <v>0.66</v>
      </c>
      <c r="H205" s="38" t="n">
        <v>0.76</v>
      </c>
      <c r="I205" s="38" t="n">
        <v>0.06999999999999999</v>
      </c>
      <c r="J205" s="44" t="n">
        <v>4</v>
      </c>
      <c r="K205" s="44" t="n">
        <v>40</v>
      </c>
      <c r="L205" s="43">
        <f>IFERROR(F205/F169-1,0)</f>
        <v/>
      </c>
      <c r="M205" s="13">
        <f>IF(L205&gt;=0,"Green",IF(ABS(L205)&lt;='00_Readme'!$B$14,"Amber","Red"))</f>
        <v/>
      </c>
    </row>
    <row r="206">
      <c r="A206" s="27" t="inlineStr">
        <is>
          <t>Jun 2026</t>
        </is>
      </c>
      <c r="B206" s="27" t="inlineStr">
        <is>
          <t>Jawa Tengah</t>
        </is>
      </c>
      <c r="C206" s="27" t="inlineStr">
        <is>
          <t>General Trade</t>
        </is>
      </c>
      <c r="D206" s="27" t="inlineStr">
        <is>
          <t>Beverages</t>
        </is>
      </c>
      <c r="E206" s="28" t="n">
        <v>714</v>
      </c>
      <c r="F206" s="44" t="n">
        <v>185</v>
      </c>
      <c r="G206" s="38" t="n">
        <v>0.66</v>
      </c>
      <c r="H206" s="38" t="n">
        <v>0.77</v>
      </c>
      <c r="I206" s="38" t="n">
        <v>0.06999999999999999</v>
      </c>
      <c r="J206" s="44" t="n">
        <v>5</v>
      </c>
      <c r="K206" s="44" t="n">
        <v>46</v>
      </c>
      <c r="L206" s="43">
        <f>IFERROR(F206/F170-1,0)</f>
        <v/>
      </c>
      <c r="M206" s="13">
        <f>IF(L206&gt;=0,"Green",IF(ABS(L206)&lt;='00_Readme'!$B$14,"Amber","Red"))</f>
        <v/>
      </c>
    </row>
    <row r="207">
      <c r="A207" s="27" t="inlineStr">
        <is>
          <t>Jun 2026</t>
        </is>
      </c>
      <c r="B207" s="27" t="inlineStr">
        <is>
          <t>Jawa Tengah</t>
        </is>
      </c>
      <c r="C207" s="27" t="inlineStr">
        <is>
          <t>Modern Trade</t>
        </is>
      </c>
      <c r="D207" s="27" t="inlineStr">
        <is>
          <t>Personal Care</t>
        </is>
      </c>
      <c r="E207" s="28" t="n">
        <v>713</v>
      </c>
      <c r="F207" s="44" t="n">
        <v>181</v>
      </c>
      <c r="G207" s="38" t="n">
        <v>0.7000000000000001</v>
      </c>
      <c r="H207" s="38" t="n">
        <v>0.79</v>
      </c>
      <c r="I207" s="38" t="n">
        <v>0.15</v>
      </c>
      <c r="J207" s="44" t="n">
        <v>6</v>
      </c>
      <c r="K207" s="44" t="n">
        <v>40</v>
      </c>
      <c r="L207" s="43">
        <f>IFERROR(F207/F171-1,0)</f>
        <v/>
      </c>
      <c r="M207" s="13">
        <f>IF(L207&gt;=0,"Green",IF(ABS(L207)&lt;='00_Readme'!$B$14,"Amber","Red"))</f>
        <v/>
      </c>
    </row>
    <row r="208">
      <c r="A208" s="27" t="inlineStr">
        <is>
          <t>Jun 2026</t>
        </is>
      </c>
      <c r="B208" s="27" t="inlineStr">
        <is>
          <t>Jawa Tengah</t>
        </is>
      </c>
      <c r="C208" s="27" t="inlineStr">
        <is>
          <t>Modern Trade</t>
        </is>
      </c>
      <c r="D208" s="27" t="inlineStr">
        <is>
          <t>Home Care</t>
        </is>
      </c>
      <c r="E208" s="28" t="n">
        <v>751</v>
      </c>
      <c r="F208" s="44" t="n">
        <v>197</v>
      </c>
      <c r="G208" s="38" t="n">
        <v>0.7000000000000001</v>
      </c>
      <c r="H208" s="38" t="n">
        <v>0.8</v>
      </c>
      <c r="I208" s="38" t="n">
        <v>0.15</v>
      </c>
      <c r="J208" s="44" t="n">
        <v>7</v>
      </c>
      <c r="K208" s="44" t="n">
        <v>46</v>
      </c>
      <c r="L208" s="43">
        <f>IFERROR(F208/F172-1,0)</f>
        <v/>
      </c>
      <c r="M208" s="13">
        <f>IF(L208&gt;=0,"Green",IF(ABS(L208)&lt;='00_Readme'!$B$14,"Amber","Red"))</f>
        <v/>
      </c>
    </row>
    <row r="209">
      <c r="A209" s="27" t="inlineStr">
        <is>
          <t>Jun 2026</t>
        </is>
      </c>
      <c r="B209" s="27" t="inlineStr">
        <is>
          <t>Jawa Tengah</t>
        </is>
      </c>
      <c r="C209" s="27" t="inlineStr">
        <is>
          <t>Modern Trade</t>
        </is>
      </c>
      <c r="D209" s="27" t="inlineStr">
        <is>
          <t>Beverages</t>
        </is>
      </c>
      <c r="E209" s="28" t="n">
        <v>789</v>
      </c>
      <c r="F209" s="44" t="n">
        <v>213</v>
      </c>
      <c r="G209" s="38" t="n">
        <v>0.7000000000000001</v>
      </c>
      <c r="H209" s="38" t="n">
        <v>0.8100000000000001</v>
      </c>
      <c r="I209" s="38" t="n">
        <v>0.15</v>
      </c>
      <c r="J209" s="44" t="n">
        <v>7</v>
      </c>
      <c r="K209" s="44" t="n">
        <v>53</v>
      </c>
      <c r="L209" s="43">
        <f>IFERROR(F209/F173-1,0)</f>
        <v/>
      </c>
      <c r="M209" s="13">
        <f>IF(L209&gt;=0,"Green",IF(ABS(L209)&lt;='00_Readme'!$B$14,"Amber","Red"))</f>
        <v/>
      </c>
    </row>
    <row r="210">
      <c r="A210" s="27" t="inlineStr">
        <is>
          <t>Jun 2026</t>
        </is>
      </c>
      <c r="B210" s="27" t="inlineStr">
        <is>
          <t>Jawa Tengah</t>
        </is>
      </c>
      <c r="C210" s="27" t="inlineStr">
        <is>
          <t>E-commerce</t>
        </is>
      </c>
      <c r="D210" s="27" t="inlineStr">
        <is>
          <t>Personal Care</t>
        </is>
      </c>
      <c r="E210" s="28" t="n">
        <v>788</v>
      </c>
      <c r="F210" s="44" t="n">
        <v>209</v>
      </c>
      <c r="G210" s="38" t="n">
        <v>0.74</v>
      </c>
      <c r="H210" s="38" t="n">
        <v>0.83</v>
      </c>
      <c r="I210" s="38" t="n">
        <v>0.23</v>
      </c>
      <c r="J210" s="44" t="n">
        <v>9</v>
      </c>
      <c r="K210" s="44" t="n">
        <v>46</v>
      </c>
      <c r="L210" s="43">
        <f>IFERROR(F210/F174-1,0)</f>
        <v/>
      </c>
      <c r="M210" s="13">
        <f>IF(L210&gt;=0,"Green",IF(ABS(L210)&lt;='00_Readme'!$B$14,"Amber","Red"))</f>
        <v/>
      </c>
    </row>
    <row r="211">
      <c r="A211" s="27" t="inlineStr">
        <is>
          <t>Jun 2026</t>
        </is>
      </c>
      <c r="B211" s="27" t="inlineStr">
        <is>
          <t>Jawa Tengah</t>
        </is>
      </c>
      <c r="C211" s="27" t="inlineStr">
        <is>
          <t>E-commerce</t>
        </is>
      </c>
      <c r="D211" s="27" t="inlineStr">
        <is>
          <t>Home Care</t>
        </is>
      </c>
      <c r="E211" s="28" t="n">
        <v>826</v>
      </c>
      <c r="F211" s="44" t="n">
        <v>225</v>
      </c>
      <c r="G211" s="38" t="n">
        <v>0.74</v>
      </c>
      <c r="H211" s="38" t="n">
        <v>0.84</v>
      </c>
      <c r="I211" s="38" t="n">
        <v>0.23</v>
      </c>
      <c r="J211" s="44" t="n">
        <v>9</v>
      </c>
      <c r="K211" s="44" t="n">
        <v>53</v>
      </c>
      <c r="L211" s="43">
        <f>IFERROR(F211/F175-1,0)</f>
        <v/>
      </c>
      <c r="M211" s="13">
        <f>IF(L211&gt;=0,"Green",IF(ABS(L211)&lt;='00_Readme'!$B$14,"Amber","Red"))</f>
        <v/>
      </c>
    </row>
    <row r="212">
      <c r="A212" s="27" t="inlineStr">
        <is>
          <t>Jun 2026</t>
        </is>
      </c>
      <c r="B212" s="27" t="inlineStr">
        <is>
          <t>Jawa Tengah</t>
        </is>
      </c>
      <c r="C212" s="27" t="inlineStr">
        <is>
          <t>E-commerce</t>
        </is>
      </c>
      <c r="D212" s="27" t="inlineStr">
        <is>
          <t>Beverages</t>
        </is>
      </c>
      <c r="E212" s="28" t="n">
        <v>864</v>
      </c>
      <c r="F212" s="44" t="n">
        <v>241</v>
      </c>
      <c r="G212" s="38" t="n">
        <v>0.74</v>
      </c>
      <c r="H212" s="38" t="n">
        <v>0.85</v>
      </c>
      <c r="I212" s="38" t="n">
        <v>0.23</v>
      </c>
      <c r="J212" s="44" t="n">
        <v>10</v>
      </c>
      <c r="K212" s="44" t="n">
        <v>60</v>
      </c>
      <c r="L212" s="43">
        <f>IFERROR(F212/F176-1,0)</f>
        <v/>
      </c>
      <c r="M212" s="13">
        <f>IF(L212&gt;=0,"Green",IF(ABS(L212)&lt;='00_Readme'!$B$14,"Amber","Red"))</f>
        <v/>
      </c>
    </row>
    <row r="213">
      <c r="A213" s="27" t="inlineStr">
        <is>
          <t>Jun 2026</t>
        </is>
      </c>
      <c r="B213" s="27" t="inlineStr">
        <is>
          <t>Jawa Timur</t>
        </is>
      </c>
      <c r="C213" s="27" t="inlineStr">
        <is>
          <t>General Trade</t>
        </is>
      </c>
      <c r="D213" s="27" t="inlineStr">
        <is>
          <t>Personal Care</t>
        </is>
      </c>
      <c r="E213" s="28" t="n">
        <v>690</v>
      </c>
      <c r="F213" s="44" t="n">
        <v>166</v>
      </c>
      <c r="G213" s="38" t="n">
        <v>0.72</v>
      </c>
      <c r="H213" s="38" t="n">
        <v>0.8099999999999999</v>
      </c>
      <c r="I213" s="38" t="n">
        <v>0.06999999999999999</v>
      </c>
      <c r="J213" s="44" t="n">
        <v>4</v>
      </c>
      <c r="K213" s="44" t="n">
        <v>37</v>
      </c>
      <c r="L213" s="43">
        <f>IFERROR(F213/F177-1,0)</f>
        <v/>
      </c>
      <c r="M213" s="13">
        <f>IF(L213&gt;=0,"Green",IF(ABS(L213)&lt;='00_Readme'!$B$14,"Amber","Red"))</f>
        <v/>
      </c>
    </row>
    <row r="214">
      <c r="A214" s="27" t="inlineStr">
        <is>
          <t>Jun 2026</t>
        </is>
      </c>
      <c r="B214" s="27" t="inlineStr">
        <is>
          <t>Jawa Timur</t>
        </is>
      </c>
      <c r="C214" s="27" t="inlineStr">
        <is>
          <t>General Trade</t>
        </is>
      </c>
      <c r="D214" s="27" t="inlineStr">
        <is>
          <t>Home Care</t>
        </is>
      </c>
      <c r="E214" s="28" t="n">
        <v>728</v>
      </c>
      <c r="F214" s="44" t="n">
        <v>182</v>
      </c>
      <c r="G214" s="38" t="n">
        <v>0.72</v>
      </c>
      <c r="H214" s="38" t="n">
        <v>0.82</v>
      </c>
      <c r="I214" s="38" t="n">
        <v>0.06999999999999999</v>
      </c>
      <c r="J214" s="44" t="n">
        <v>5</v>
      </c>
      <c r="K214" s="44" t="n">
        <v>43</v>
      </c>
      <c r="L214" s="43">
        <f>IFERROR(F214/F178-1,0)</f>
        <v/>
      </c>
      <c r="M214" s="13">
        <f>IF(L214&gt;=0,"Green",IF(ABS(L214)&lt;='00_Readme'!$B$14,"Amber","Red"))</f>
        <v/>
      </c>
    </row>
    <row r="215">
      <c r="A215" s="27" t="inlineStr">
        <is>
          <t>Jun 2026</t>
        </is>
      </c>
      <c r="B215" s="27" t="inlineStr">
        <is>
          <t>Jawa Timur</t>
        </is>
      </c>
      <c r="C215" s="27" t="inlineStr">
        <is>
          <t>General Trade</t>
        </is>
      </c>
      <c r="D215" s="27" t="inlineStr">
        <is>
          <t>Beverages</t>
        </is>
      </c>
      <c r="E215" s="28" t="n">
        <v>766</v>
      </c>
      <c r="F215" s="44" t="n">
        <v>198</v>
      </c>
      <c r="G215" s="38" t="n">
        <v>0.72</v>
      </c>
      <c r="H215" s="38" t="n">
        <v>0.83</v>
      </c>
      <c r="I215" s="38" t="n">
        <v>0.06999999999999999</v>
      </c>
      <c r="J215" s="44" t="n">
        <v>5</v>
      </c>
      <c r="K215" s="44" t="n">
        <v>50</v>
      </c>
      <c r="L215" s="43">
        <f>IFERROR(F215/F179-1,0)</f>
        <v/>
      </c>
      <c r="M215" s="13">
        <f>IF(L215&gt;=0,"Green",IF(ABS(L215)&lt;='00_Readme'!$B$14,"Amber","Red"))</f>
        <v/>
      </c>
    </row>
    <row r="216">
      <c r="A216" s="27" t="inlineStr">
        <is>
          <t>Jun 2026</t>
        </is>
      </c>
      <c r="B216" s="27" t="inlineStr">
        <is>
          <t>Jawa Timur</t>
        </is>
      </c>
      <c r="C216" s="27" t="inlineStr">
        <is>
          <t>Modern Trade</t>
        </is>
      </c>
      <c r="D216" s="27" t="inlineStr">
        <is>
          <t>Personal Care</t>
        </is>
      </c>
      <c r="E216" s="28" t="n">
        <v>765</v>
      </c>
      <c r="F216" s="44" t="n">
        <v>194</v>
      </c>
      <c r="G216" s="38" t="n">
        <v>0.76</v>
      </c>
      <c r="H216" s="38" t="n">
        <v>0.85</v>
      </c>
      <c r="I216" s="38" t="n">
        <v>0.15</v>
      </c>
      <c r="J216" s="44" t="n">
        <v>6</v>
      </c>
      <c r="K216" s="44" t="n">
        <v>43</v>
      </c>
      <c r="L216" s="43">
        <f>IFERROR(F216/F180-1,0)</f>
        <v/>
      </c>
      <c r="M216" s="13">
        <f>IF(L216&gt;=0,"Green",IF(ABS(L216)&lt;='00_Readme'!$B$14,"Amber","Red"))</f>
        <v/>
      </c>
    </row>
    <row r="217">
      <c r="A217" s="27" t="inlineStr">
        <is>
          <t>Jun 2026</t>
        </is>
      </c>
      <c r="B217" s="27" t="inlineStr">
        <is>
          <t>Jawa Timur</t>
        </is>
      </c>
      <c r="C217" s="27" t="inlineStr">
        <is>
          <t>Modern Trade</t>
        </is>
      </c>
      <c r="D217" s="27" t="inlineStr">
        <is>
          <t>Home Care</t>
        </is>
      </c>
      <c r="E217" s="28" t="n">
        <v>803</v>
      </c>
      <c r="F217" s="44" t="n">
        <v>210</v>
      </c>
      <c r="G217" s="38" t="n">
        <v>0.76</v>
      </c>
      <c r="H217" s="38" t="n">
        <v>0.86</v>
      </c>
      <c r="I217" s="38" t="n">
        <v>0.15</v>
      </c>
      <c r="J217" s="44" t="n">
        <v>7</v>
      </c>
      <c r="K217" s="44" t="n">
        <v>49</v>
      </c>
      <c r="L217" s="43">
        <f>IFERROR(F217/F181-1,0)</f>
        <v/>
      </c>
      <c r="M217" s="13">
        <f>IF(L217&gt;=0,"Green",IF(ABS(L217)&lt;='00_Readme'!$B$14,"Amber","Red"))</f>
        <v/>
      </c>
    </row>
    <row r="218">
      <c r="A218" s="27" t="inlineStr">
        <is>
          <t>Jun 2026</t>
        </is>
      </c>
      <c r="B218" s="27" t="inlineStr">
        <is>
          <t>Jawa Timur</t>
        </is>
      </c>
      <c r="C218" s="27" t="inlineStr">
        <is>
          <t>Modern Trade</t>
        </is>
      </c>
      <c r="D218" s="27" t="inlineStr">
        <is>
          <t>Beverages</t>
        </is>
      </c>
      <c r="E218" s="28" t="n">
        <v>841</v>
      </c>
      <c r="F218" s="44" t="n">
        <v>226</v>
      </c>
      <c r="G218" s="38" t="n">
        <v>0.76</v>
      </c>
      <c r="H218" s="38" t="n">
        <v>0.87</v>
      </c>
      <c r="I218" s="38" t="n">
        <v>0.15</v>
      </c>
      <c r="J218" s="44" t="n">
        <v>7</v>
      </c>
      <c r="K218" s="44" t="n">
        <v>56</v>
      </c>
      <c r="L218" s="43">
        <f>IFERROR(F218/F182-1,0)</f>
        <v/>
      </c>
      <c r="M218" s="13">
        <f>IF(L218&gt;=0,"Green",IF(ABS(L218)&lt;='00_Readme'!$B$14,"Amber","Red"))</f>
        <v/>
      </c>
    </row>
    <row r="219">
      <c r="A219" s="27" t="inlineStr">
        <is>
          <t>Jun 2026</t>
        </is>
      </c>
      <c r="B219" s="27" t="inlineStr">
        <is>
          <t>Jawa Timur</t>
        </is>
      </c>
      <c r="C219" s="27" t="inlineStr">
        <is>
          <t>E-commerce</t>
        </is>
      </c>
      <c r="D219" s="27" t="inlineStr">
        <is>
          <t>Personal Care</t>
        </is>
      </c>
      <c r="E219" s="28" t="n">
        <v>840</v>
      </c>
      <c r="F219" s="44" t="n">
        <v>222</v>
      </c>
      <c r="G219" s="38" t="n">
        <v>0.7999999999999999</v>
      </c>
      <c r="H219" s="38" t="n">
        <v>0.8899999999999999</v>
      </c>
      <c r="I219" s="38" t="n">
        <v>0.23</v>
      </c>
      <c r="J219" s="44" t="n">
        <v>9</v>
      </c>
      <c r="K219" s="44" t="n">
        <v>49</v>
      </c>
      <c r="L219" s="43">
        <f>IFERROR(F219/F183-1,0)</f>
        <v/>
      </c>
      <c r="M219" s="13">
        <f>IF(L219&gt;=0,"Green",IF(ABS(L219)&lt;='00_Readme'!$B$14,"Amber","Red"))</f>
        <v/>
      </c>
    </row>
    <row r="220">
      <c r="A220" s="27" t="inlineStr">
        <is>
          <t>Jun 2026</t>
        </is>
      </c>
      <c r="B220" s="27" t="inlineStr">
        <is>
          <t>Jawa Timur</t>
        </is>
      </c>
      <c r="C220" s="27" t="inlineStr">
        <is>
          <t>E-commerce</t>
        </is>
      </c>
      <c r="D220" s="27" t="inlineStr">
        <is>
          <t>Home Care</t>
        </is>
      </c>
      <c r="E220" s="28" t="n">
        <v>878</v>
      </c>
      <c r="F220" s="44" t="n">
        <v>238</v>
      </c>
      <c r="G220" s="38" t="n">
        <v>0.7999999999999999</v>
      </c>
      <c r="H220" s="38" t="n">
        <v>0.8999999999999999</v>
      </c>
      <c r="I220" s="38" t="n">
        <v>0.23</v>
      </c>
      <c r="J220" s="44" t="n">
        <v>10</v>
      </c>
      <c r="K220" s="44" t="n">
        <v>56</v>
      </c>
      <c r="L220" s="43">
        <f>IFERROR(F220/F184-1,0)</f>
        <v/>
      </c>
      <c r="M220" s="13">
        <f>IF(L220&gt;=0,"Green",IF(ABS(L220)&lt;='00_Readme'!$B$14,"Amber","Red"))</f>
        <v/>
      </c>
    </row>
    <row r="221">
      <c r="A221" s="27" t="inlineStr">
        <is>
          <t>Jun 2026</t>
        </is>
      </c>
      <c r="B221" s="27" t="inlineStr">
        <is>
          <t>Jawa Timur</t>
        </is>
      </c>
      <c r="C221" s="27" t="inlineStr">
        <is>
          <t>E-commerce</t>
        </is>
      </c>
      <c r="D221" s="27" t="inlineStr">
        <is>
          <t>Beverages</t>
        </is>
      </c>
      <c r="E221" s="28" t="n">
        <v>916</v>
      </c>
      <c r="F221" s="44" t="n">
        <v>254</v>
      </c>
      <c r="G221" s="38" t="n">
        <v>0.7999999999999999</v>
      </c>
      <c r="H221" s="38" t="n">
        <v>0.9099999999999999</v>
      </c>
      <c r="I221" s="38" t="n">
        <v>0.23</v>
      </c>
      <c r="J221" s="44" t="n">
        <v>10</v>
      </c>
      <c r="K221" s="44" t="n">
        <v>64</v>
      </c>
      <c r="L221" s="43">
        <f>IFERROR(F221/F185-1,0)</f>
        <v/>
      </c>
      <c r="M221" s="13">
        <f>IF(L221&gt;=0,"Green",IF(ABS(L221)&lt;='00_Readme'!$B$14,"Amber","Red"))</f>
        <v/>
      </c>
    </row>
    <row r="222">
      <c r="A222" s="27" t="inlineStr">
        <is>
          <t>Jul 2026</t>
        </is>
      </c>
      <c r="B222" s="27" t="inlineStr">
        <is>
          <t>Jabodetabek</t>
        </is>
      </c>
      <c r="C222" s="27" t="inlineStr">
        <is>
          <t>General Trade</t>
        </is>
      </c>
      <c r="D222" s="27" t="inlineStr">
        <is>
          <t>Personal Care</t>
        </is>
      </c>
      <c r="E222" s="28" t="n">
        <v>506</v>
      </c>
      <c r="F222" s="44" t="n">
        <v>139</v>
      </c>
      <c r="G222" s="38" t="n">
        <v>0.52</v>
      </c>
      <c r="H222" s="38" t="n">
        <v>0.61</v>
      </c>
      <c r="I222" s="38" t="n">
        <v>0.08</v>
      </c>
      <c r="J222" s="44" t="n">
        <v>3</v>
      </c>
      <c r="K222" s="44" t="n">
        <v>31</v>
      </c>
      <c r="L222" s="43">
        <f>IFERROR(F222/F186-1,0)</f>
        <v/>
      </c>
      <c r="M222" s="13">
        <f>IF(L222&gt;=0,"Green",IF(ABS(L222)&lt;='00_Readme'!$B$14,"Amber","Red"))</f>
        <v/>
      </c>
    </row>
    <row r="223">
      <c r="A223" s="27" t="inlineStr">
        <is>
          <t>Jul 2026</t>
        </is>
      </c>
      <c r="B223" s="27" t="inlineStr">
        <is>
          <t>Jabodetabek</t>
        </is>
      </c>
      <c r="C223" s="27" t="inlineStr">
        <is>
          <t>General Trade</t>
        </is>
      </c>
      <c r="D223" s="27" t="inlineStr">
        <is>
          <t>Home Care</t>
        </is>
      </c>
      <c r="E223" s="28" t="n">
        <v>544</v>
      </c>
      <c r="F223" s="44" t="n">
        <v>155</v>
      </c>
      <c r="G223" s="38" t="n">
        <v>0.52</v>
      </c>
      <c r="H223" s="38" t="n">
        <v>0.62</v>
      </c>
      <c r="I223" s="38" t="n">
        <v>0.08</v>
      </c>
      <c r="J223" s="44" t="n">
        <v>4</v>
      </c>
      <c r="K223" s="44" t="n">
        <v>36</v>
      </c>
      <c r="L223" s="43">
        <f>IFERROR(F223/F187-1,0)</f>
        <v/>
      </c>
      <c r="M223" s="13">
        <f>IF(L223&gt;=0,"Green",IF(ABS(L223)&lt;='00_Readme'!$B$14,"Amber","Red"))</f>
        <v/>
      </c>
    </row>
    <row r="224">
      <c r="A224" s="27" t="inlineStr">
        <is>
          <t>Jul 2026</t>
        </is>
      </c>
      <c r="B224" s="27" t="inlineStr">
        <is>
          <t>Jabodetabek</t>
        </is>
      </c>
      <c r="C224" s="27" t="inlineStr">
        <is>
          <t>General Trade</t>
        </is>
      </c>
      <c r="D224" s="27" t="inlineStr">
        <is>
          <t>Beverages</t>
        </is>
      </c>
      <c r="E224" s="28" t="n">
        <v>582</v>
      </c>
      <c r="F224" s="44" t="n">
        <v>171</v>
      </c>
      <c r="G224" s="38" t="n">
        <v>0.52</v>
      </c>
      <c r="H224" s="38" t="n">
        <v>0.63</v>
      </c>
      <c r="I224" s="38" t="n">
        <v>0.08</v>
      </c>
      <c r="J224" s="44" t="n">
        <v>4</v>
      </c>
      <c r="K224" s="44" t="n">
        <v>43</v>
      </c>
      <c r="L224" s="43">
        <f>IFERROR(F224/F188-1,0)</f>
        <v/>
      </c>
      <c r="M224" s="13">
        <f>IF(L224&gt;=0,"Green",IF(ABS(L224)&lt;='00_Readme'!$B$14,"Amber","Red"))</f>
        <v/>
      </c>
    </row>
    <row r="225">
      <c r="A225" s="27" t="inlineStr">
        <is>
          <t>Jul 2026</t>
        </is>
      </c>
      <c r="B225" s="27" t="inlineStr">
        <is>
          <t>Jabodetabek</t>
        </is>
      </c>
      <c r="C225" s="27" t="inlineStr">
        <is>
          <t>Modern Trade</t>
        </is>
      </c>
      <c r="D225" s="27" t="inlineStr">
        <is>
          <t>Personal Care</t>
        </is>
      </c>
      <c r="E225" s="28" t="n">
        <v>581</v>
      </c>
      <c r="F225" s="44" t="n">
        <v>167</v>
      </c>
      <c r="G225" s="38" t="n">
        <v>0.5600000000000001</v>
      </c>
      <c r="H225" s="38" t="n">
        <v>0.65</v>
      </c>
      <c r="I225" s="38" t="n">
        <v>0.16</v>
      </c>
      <c r="J225" s="44" t="n">
        <v>6</v>
      </c>
      <c r="K225" s="44" t="n">
        <v>37</v>
      </c>
      <c r="L225" s="43">
        <f>IFERROR(F225/F189-1,0)</f>
        <v/>
      </c>
      <c r="M225" s="13">
        <f>IF(L225&gt;=0,"Green",IF(ABS(L225)&lt;='00_Readme'!$B$14,"Amber","Red"))</f>
        <v/>
      </c>
    </row>
    <row r="226">
      <c r="A226" s="27" t="inlineStr">
        <is>
          <t>Jul 2026</t>
        </is>
      </c>
      <c r="B226" s="27" t="inlineStr">
        <is>
          <t>Jabodetabek</t>
        </is>
      </c>
      <c r="C226" s="27" t="inlineStr">
        <is>
          <t>Modern Trade</t>
        </is>
      </c>
      <c r="D226" s="27" t="inlineStr">
        <is>
          <t>Home Care</t>
        </is>
      </c>
      <c r="E226" s="28" t="n">
        <v>619</v>
      </c>
      <c r="F226" s="44" t="n">
        <v>183</v>
      </c>
      <c r="G226" s="38" t="n">
        <v>0.5600000000000001</v>
      </c>
      <c r="H226" s="38" t="n">
        <v>0.66</v>
      </c>
      <c r="I226" s="38" t="n">
        <v>0.16</v>
      </c>
      <c r="J226" s="44" t="n">
        <v>6</v>
      </c>
      <c r="K226" s="44" t="n">
        <v>43</v>
      </c>
      <c r="L226" s="43">
        <f>IFERROR(F226/F190-1,0)</f>
        <v/>
      </c>
      <c r="M226" s="13">
        <f>IF(L226&gt;=0,"Green",IF(ABS(L226)&lt;='00_Readme'!$B$14,"Amber","Red"))</f>
        <v/>
      </c>
    </row>
    <row r="227">
      <c r="A227" s="27" t="inlineStr">
        <is>
          <t>Jul 2026</t>
        </is>
      </c>
      <c r="B227" s="27" t="inlineStr">
        <is>
          <t>Jabodetabek</t>
        </is>
      </c>
      <c r="C227" s="27" t="inlineStr">
        <is>
          <t>Modern Trade</t>
        </is>
      </c>
      <c r="D227" s="27" t="inlineStr">
        <is>
          <t>Beverages</t>
        </is>
      </c>
      <c r="E227" s="28" t="n">
        <v>657</v>
      </c>
      <c r="F227" s="44" t="n">
        <v>199</v>
      </c>
      <c r="G227" s="38" t="n">
        <v>0.5600000000000001</v>
      </c>
      <c r="H227" s="38" t="n">
        <v>0.67</v>
      </c>
      <c r="I227" s="38" t="n">
        <v>0.16</v>
      </c>
      <c r="J227" s="44" t="n">
        <v>7</v>
      </c>
      <c r="K227" s="44" t="n">
        <v>50</v>
      </c>
      <c r="L227" s="43">
        <f>IFERROR(F227/F191-1,0)</f>
        <v/>
      </c>
      <c r="M227" s="13">
        <f>IF(L227&gt;=0,"Green",IF(ABS(L227)&lt;='00_Readme'!$B$14,"Amber","Red"))</f>
        <v/>
      </c>
    </row>
    <row r="228">
      <c r="A228" s="27" t="inlineStr">
        <is>
          <t>Jul 2026</t>
        </is>
      </c>
      <c r="B228" s="27" t="inlineStr">
        <is>
          <t>Jabodetabek</t>
        </is>
      </c>
      <c r="C228" s="27" t="inlineStr">
        <is>
          <t>E-commerce</t>
        </is>
      </c>
      <c r="D228" s="27" t="inlineStr">
        <is>
          <t>Personal Care</t>
        </is>
      </c>
      <c r="E228" s="28" t="n">
        <v>656</v>
      </c>
      <c r="F228" s="44" t="n">
        <v>195</v>
      </c>
      <c r="G228" s="38" t="n">
        <v>0.6</v>
      </c>
      <c r="H228" s="38" t="n">
        <v>0.6899999999999999</v>
      </c>
      <c r="I228" s="38" t="n">
        <v>0.24</v>
      </c>
      <c r="J228" s="44" t="n">
        <v>8</v>
      </c>
      <c r="K228" s="44" t="n">
        <v>43</v>
      </c>
      <c r="L228" s="43">
        <f>IFERROR(F228/F192-1,0)</f>
        <v/>
      </c>
      <c r="M228" s="13">
        <f>IF(L228&gt;=0,"Green",IF(ABS(L228)&lt;='00_Readme'!$B$14,"Amber","Red"))</f>
        <v/>
      </c>
    </row>
    <row r="229">
      <c r="A229" s="27" t="inlineStr">
        <is>
          <t>Jul 2026</t>
        </is>
      </c>
      <c r="B229" s="27" t="inlineStr">
        <is>
          <t>Jabodetabek</t>
        </is>
      </c>
      <c r="C229" s="27" t="inlineStr">
        <is>
          <t>E-commerce</t>
        </is>
      </c>
      <c r="D229" s="27" t="inlineStr">
        <is>
          <t>Home Care</t>
        </is>
      </c>
      <c r="E229" s="28" t="n">
        <v>694</v>
      </c>
      <c r="F229" s="44" t="n">
        <v>211</v>
      </c>
      <c r="G229" s="38" t="n">
        <v>0.6</v>
      </c>
      <c r="H229" s="38" t="n">
        <v>0.7</v>
      </c>
      <c r="I229" s="38" t="n">
        <v>0.24</v>
      </c>
      <c r="J229" s="44" t="n">
        <v>9</v>
      </c>
      <c r="K229" s="44" t="n">
        <v>50</v>
      </c>
      <c r="L229" s="43">
        <f>IFERROR(F229/F193-1,0)</f>
        <v/>
      </c>
      <c r="M229" s="13">
        <f>IF(L229&gt;=0,"Green",IF(ABS(L229)&lt;='00_Readme'!$B$14,"Amber","Red"))</f>
        <v/>
      </c>
    </row>
    <row r="230">
      <c r="A230" s="27" t="inlineStr">
        <is>
          <t>Jul 2026</t>
        </is>
      </c>
      <c r="B230" s="27" t="inlineStr">
        <is>
          <t>Jabodetabek</t>
        </is>
      </c>
      <c r="C230" s="27" t="inlineStr">
        <is>
          <t>E-commerce</t>
        </is>
      </c>
      <c r="D230" s="27" t="inlineStr">
        <is>
          <t>Beverages</t>
        </is>
      </c>
      <c r="E230" s="28" t="n">
        <v>732</v>
      </c>
      <c r="F230" s="44" t="n">
        <v>227</v>
      </c>
      <c r="G230" s="38" t="n">
        <v>0.6</v>
      </c>
      <c r="H230" s="38" t="n">
        <v>0.71</v>
      </c>
      <c r="I230" s="38" t="n">
        <v>0.24</v>
      </c>
      <c r="J230" s="44" t="n">
        <v>9</v>
      </c>
      <c r="K230" s="44" t="n">
        <v>57</v>
      </c>
      <c r="L230" s="43">
        <f>IFERROR(F230/F194-1,0)</f>
        <v/>
      </c>
      <c r="M230" s="13">
        <f>IF(L230&gt;=0,"Green",IF(ABS(L230)&lt;='00_Readme'!$B$14,"Amber","Red"))</f>
        <v/>
      </c>
    </row>
    <row r="231">
      <c r="A231" s="27" t="inlineStr">
        <is>
          <t>Jul 2026</t>
        </is>
      </c>
      <c r="B231" s="27" t="inlineStr">
        <is>
          <t>Jawa Barat</t>
        </is>
      </c>
      <c r="C231" s="27" t="inlineStr">
        <is>
          <t>General Trade</t>
        </is>
      </c>
      <c r="D231" s="27" t="inlineStr">
        <is>
          <t>Personal Care</t>
        </is>
      </c>
      <c r="E231" s="28" t="n">
        <v>558</v>
      </c>
      <c r="F231" s="44" t="n">
        <v>152</v>
      </c>
      <c r="G231" s="38" t="n">
        <v>0.5800000000000001</v>
      </c>
      <c r="H231" s="38" t="n">
        <v>0.67</v>
      </c>
      <c r="I231" s="38" t="n">
        <v>0.08</v>
      </c>
      <c r="J231" s="44" t="n">
        <v>4</v>
      </c>
      <c r="K231" s="44" t="n">
        <v>33</v>
      </c>
      <c r="L231" s="43">
        <f>IFERROR(F231/F195-1,0)</f>
        <v/>
      </c>
      <c r="M231" s="13">
        <f>IF(L231&gt;=0,"Green",IF(ABS(L231)&lt;='00_Readme'!$B$14,"Amber","Red"))</f>
        <v/>
      </c>
    </row>
    <row r="232">
      <c r="A232" s="27" t="inlineStr">
        <is>
          <t>Jul 2026</t>
        </is>
      </c>
      <c r="B232" s="27" t="inlineStr">
        <is>
          <t>Jawa Barat</t>
        </is>
      </c>
      <c r="C232" s="27" t="inlineStr">
        <is>
          <t>General Trade</t>
        </is>
      </c>
      <c r="D232" s="27" t="inlineStr">
        <is>
          <t>Home Care</t>
        </is>
      </c>
      <c r="E232" s="28" t="n">
        <v>596</v>
      </c>
      <c r="F232" s="44" t="n">
        <v>168</v>
      </c>
      <c r="G232" s="38" t="n">
        <v>0.5800000000000001</v>
      </c>
      <c r="H232" s="38" t="n">
        <v>0.68</v>
      </c>
      <c r="I232" s="38" t="n">
        <v>0.08</v>
      </c>
      <c r="J232" s="44" t="n">
        <v>4</v>
      </c>
      <c r="K232" s="44" t="n">
        <v>39</v>
      </c>
      <c r="L232" s="43">
        <f>IFERROR(F232/F196-1,0)</f>
        <v/>
      </c>
      <c r="M232" s="13">
        <f>IF(L232&gt;=0,"Green",IF(ABS(L232)&lt;='00_Readme'!$B$14,"Amber","Red"))</f>
        <v/>
      </c>
    </row>
    <row r="233">
      <c r="A233" s="27" t="inlineStr">
        <is>
          <t>Jul 2026</t>
        </is>
      </c>
      <c r="B233" s="27" t="inlineStr">
        <is>
          <t>Jawa Barat</t>
        </is>
      </c>
      <c r="C233" s="27" t="inlineStr">
        <is>
          <t>General Trade</t>
        </is>
      </c>
      <c r="D233" s="27" t="inlineStr">
        <is>
          <t>Beverages</t>
        </is>
      </c>
      <c r="E233" s="28" t="n">
        <v>634</v>
      </c>
      <c r="F233" s="44" t="n">
        <v>184</v>
      </c>
      <c r="G233" s="38" t="n">
        <v>0.5800000000000001</v>
      </c>
      <c r="H233" s="38" t="n">
        <v>0.6900000000000001</v>
      </c>
      <c r="I233" s="38" t="n">
        <v>0.08</v>
      </c>
      <c r="J233" s="44" t="n">
        <v>5</v>
      </c>
      <c r="K233" s="44" t="n">
        <v>46</v>
      </c>
      <c r="L233" s="43">
        <f>IFERROR(F233/F197-1,0)</f>
        <v/>
      </c>
      <c r="M233" s="13">
        <f>IF(L233&gt;=0,"Green",IF(ABS(L233)&lt;='00_Readme'!$B$14,"Amber","Red"))</f>
        <v/>
      </c>
    </row>
    <row r="234">
      <c r="A234" s="27" t="inlineStr">
        <is>
          <t>Jul 2026</t>
        </is>
      </c>
      <c r="B234" s="27" t="inlineStr">
        <is>
          <t>Jawa Barat</t>
        </is>
      </c>
      <c r="C234" s="27" t="inlineStr">
        <is>
          <t>Modern Trade</t>
        </is>
      </c>
      <c r="D234" s="27" t="inlineStr">
        <is>
          <t>Personal Care</t>
        </is>
      </c>
      <c r="E234" s="28" t="n">
        <v>633</v>
      </c>
      <c r="F234" s="44" t="n">
        <v>180</v>
      </c>
      <c r="G234" s="38" t="n">
        <v>0.6200000000000001</v>
      </c>
      <c r="H234" s="38" t="n">
        <v>0.7100000000000001</v>
      </c>
      <c r="I234" s="38" t="n">
        <v>0.16</v>
      </c>
      <c r="J234" s="44" t="n">
        <v>6</v>
      </c>
      <c r="K234" s="44" t="n">
        <v>40</v>
      </c>
      <c r="L234" s="43">
        <f>IFERROR(F234/F198-1,0)</f>
        <v/>
      </c>
      <c r="M234" s="13">
        <f>IF(L234&gt;=0,"Green",IF(ABS(L234)&lt;='00_Readme'!$B$14,"Amber","Red"))</f>
        <v/>
      </c>
    </row>
    <row r="235">
      <c r="A235" s="27" t="inlineStr">
        <is>
          <t>Jul 2026</t>
        </is>
      </c>
      <c r="B235" s="27" t="inlineStr">
        <is>
          <t>Jawa Barat</t>
        </is>
      </c>
      <c r="C235" s="27" t="inlineStr">
        <is>
          <t>Modern Trade</t>
        </is>
      </c>
      <c r="D235" s="27" t="inlineStr">
        <is>
          <t>Home Care</t>
        </is>
      </c>
      <c r="E235" s="28" t="n">
        <v>671</v>
      </c>
      <c r="F235" s="44" t="n">
        <v>196</v>
      </c>
      <c r="G235" s="38" t="n">
        <v>0.6200000000000001</v>
      </c>
      <c r="H235" s="38" t="n">
        <v>0.7200000000000001</v>
      </c>
      <c r="I235" s="38" t="n">
        <v>0.16</v>
      </c>
      <c r="J235" s="44" t="n">
        <v>6</v>
      </c>
      <c r="K235" s="44" t="n">
        <v>46</v>
      </c>
      <c r="L235" s="43">
        <f>IFERROR(F235/F199-1,0)</f>
        <v/>
      </c>
      <c r="M235" s="13">
        <f>IF(L235&gt;=0,"Green",IF(ABS(L235)&lt;='00_Readme'!$B$14,"Amber","Red"))</f>
        <v/>
      </c>
    </row>
    <row r="236">
      <c r="A236" s="27" t="inlineStr">
        <is>
          <t>Jul 2026</t>
        </is>
      </c>
      <c r="B236" s="27" t="inlineStr">
        <is>
          <t>Jawa Barat</t>
        </is>
      </c>
      <c r="C236" s="27" t="inlineStr">
        <is>
          <t>Modern Trade</t>
        </is>
      </c>
      <c r="D236" s="27" t="inlineStr">
        <is>
          <t>Beverages</t>
        </is>
      </c>
      <c r="E236" s="28" t="n">
        <v>709</v>
      </c>
      <c r="F236" s="44" t="n">
        <v>212</v>
      </c>
      <c r="G236" s="38" t="n">
        <v>0.6200000000000001</v>
      </c>
      <c r="H236" s="38" t="n">
        <v>0.7300000000000001</v>
      </c>
      <c r="I236" s="38" t="n">
        <v>0.16</v>
      </c>
      <c r="J236" s="44" t="n">
        <v>7</v>
      </c>
      <c r="K236" s="44" t="n">
        <v>53</v>
      </c>
      <c r="L236" s="43">
        <f>IFERROR(F236/F200-1,0)</f>
        <v/>
      </c>
      <c r="M236" s="13">
        <f>IF(L236&gt;=0,"Green",IF(ABS(L236)&lt;='00_Readme'!$B$14,"Amber","Red"))</f>
        <v/>
      </c>
    </row>
    <row r="237">
      <c r="A237" s="27" t="inlineStr">
        <is>
          <t>Jul 2026</t>
        </is>
      </c>
      <c r="B237" s="27" t="inlineStr">
        <is>
          <t>Jawa Barat</t>
        </is>
      </c>
      <c r="C237" s="27" t="inlineStr">
        <is>
          <t>E-commerce</t>
        </is>
      </c>
      <c r="D237" s="27" t="inlineStr">
        <is>
          <t>Personal Care</t>
        </is>
      </c>
      <c r="E237" s="28" t="n">
        <v>708</v>
      </c>
      <c r="F237" s="44" t="n">
        <v>208</v>
      </c>
      <c r="G237" s="38" t="n">
        <v>0.66</v>
      </c>
      <c r="H237" s="38" t="n">
        <v>0.75</v>
      </c>
      <c r="I237" s="38" t="n">
        <v>0.24</v>
      </c>
      <c r="J237" s="44" t="n">
        <v>9</v>
      </c>
      <c r="K237" s="44" t="n">
        <v>46</v>
      </c>
      <c r="L237" s="43">
        <f>IFERROR(F237/F201-1,0)</f>
        <v/>
      </c>
      <c r="M237" s="13">
        <f>IF(L237&gt;=0,"Green",IF(ABS(L237)&lt;='00_Readme'!$B$14,"Amber","Red"))</f>
        <v/>
      </c>
    </row>
    <row r="238">
      <c r="A238" s="27" t="inlineStr">
        <is>
          <t>Jul 2026</t>
        </is>
      </c>
      <c r="B238" s="27" t="inlineStr">
        <is>
          <t>Jawa Barat</t>
        </is>
      </c>
      <c r="C238" s="27" t="inlineStr">
        <is>
          <t>E-commerce</t>
        </is>
      </c>
      <c r="D238" s="27" t="inlineStr">
        <is>
          <t>Home Care</t>
        </is>
      </c>
      <c r="E238" s="28" t="n">
        <v>746</v>
      </c>
      <c r="F238" s="44" t="n">
        <v>224</v>
      </c>
      <c r="G238" s="38" t="n">
        <v>0.66</v>
      </c>
      <c r="H238" s="38" t="n">
        <v>0.76</v>
      </c>
      <c r="I238" s="38" t="n">
        <v>0.24</v>
      </c>
      <c r="J238" s="44" t="n">
        <v>9</v>
      </c>
      <c r="K238" s="44" t="n">
        <v>53</v>
      </c>
      <c r="L238" s="43">
        <f>IFERROR(F238/F202-1,0)</f>
        <v/>
      </c>
      <c r="M238" s="13">
        <f>IF(L238&gt;=0,"Green",IF(ABS(L238)&lt;='00_Readme'!$B$14,"Amber","Red"))</f>
        <v/>
      </c>
    </row>
    <row r="239">
      <c r="A239" s="27" t="inlineStr">
        <is>
          <t>Jul 2026</t>
        </is>
      </c>
      <c r="B239" s="27" t="inlineStr">
        <is>
          <t>Jawa Barat</t>
        </is>
      </c>
      <c r="C239" s="27" t="inlineStr">
        <is>
          <t>E-commerce</t>
        </is>
      </c>
      <c r="D239" s="27" t="inlineStr">
        <is>
          <t>Beverages</t>
        </is>
      </c>
      <c r="E239" s="28" t="n">
        <v>784</v>
      </c>
      <c r="F239" s="44" t="n">
        <v>240</v>
      </c>
      <c r="G239" s="38" t="n">
        <v>0.66</v>
      </c>
      <c r="H239" s="38" t="n">
        <v>0.77</v>
      </c>
      <c r="I239" s="38" t="n">
        <v>0.24</v>
      </c>
      <c r="J239" s="44" t="n">
        <v>10</v>
      </c>
      <c r="K239" s="44" t="n">
        <v>60</v>
      </c>
      <c r="L239" s="43">
        <f>IFERROR(F239/F203-1,0)</f>
        <v/>
      </c>
      <c r="M239" s="13">
        <f>IF(L239&gt;=0,"Green",IF(ABS(L239)&lt;='00_Readme'!$B$14,"Amber","Red"))</f>
        <v/>
      </c>
    </row>
    <row r="240">
      <c r="A240" s="27" t="inlineStr">
        <is>
          <t>Jul 2026</t>
        </is>
      </c>
      <c r="B240" s="27" t="inlineStr">
        <is>
          <t>Jawa Tengah</t>
        </is>
      </c>
      <c r="C240" s="27" t="inlineStr">
        <is>
          <t>General Trade</t>
        </is>
      </c>
      <c r="D240" s="27" t="inlineStr">
        <is>
          <t>Personal Care</t>
        </is>
      </c>
      <c r="E240" s="28" t="n">
        <v>610</v>
      </c>
      <c r="F240" s="44" t="n">
        <v>165</v>
      </c>
      <c r="G240" s="38" t="n">
        <v>0.64</v>
      </c>
      <c r="H240" s="38" t="n">
        <v>0.73</v>
      </c>
      <c r="I240" s="38" t="n">
        <v>0.08</v>
      </c>
      <c r="J240" s="44" t="n">
        <v>4</v>
      </c>
      <c r="K240" s="44" t="n">
        <v>36</v>
      </c>
      <c r="L240" s="43">
        <f>IFERROR(F240/F204-1,0)</f>
        <v/>
      </c>
      <c r="M240" s="13">
        <f>IF(L240&gt;=0,"Green",IF(ABS(L240)&lt;='00_Readme'!$B$14,"Amber","Red"))</f>
        <v/>
      </c>
    </row>
    <row r="241">
      <c r="A241" s="27" t="inlineStr">
        <is>
          <t>Jul 2026</t>
        </is>
      </c>
      <c r="B241" s="27" t="inlineStr">
        <is>
          <t>Jawa Tengah</t>
        </is>
      </c>
      <c r="C241" s="27" t="inlineStr">
        <is>
          <t>General Trade</t>
        </is>
      </c>
      <c r="D241" s="27" t="inlineStr">
        <is>
          <t>Home Care</t>
        </is>
      </c>
      <c r="E241" s="28" t="n">
        <v>648</v>
      </c>
      <c r="F241" s="44" t="n">
        <v>181</v>
      </c>
      <c r="G241" s="38" t="n">
        <v>0.64</v>
      </c>
      <c r="H241" s="38" t="n">
        <v>0.74</v>
      </c>
      <c r="I241" s="38" t="n">
        <v>0.08</v>
      </c>
      <c r="J241" s="44" t="n">
        <v>5</v>
      </c>
      <c r="K241" s="44" t="n">
        <v>43</v>
      </c>
      <c r="L241" s="43">
        <f>IFERROR(F241/F205-1,0)</f>
        <v/>
      </c>
      <c r="M241" s="13">
        <f>IF(L241&gt;=0,"Green",IF(ABS(L241)&lt;='00_Readme'!$B$14,"Amber","Red"))</f>
        <v/>
      </c>
    </row>
    <row r="242">
      <c r="A242" s="27" t="inlineStr">
        <is>
          <t>Jul 2026</t>
        </is>
      </c>
      <c r="B242" s="27" t="inlineStr">
        <is>
          <t>Jawa Tengah</t>
        </is>
      </c>
      <c r="C242" s="27" t="inlineStr">
        <is>
          <t>General Trade</t>
        </is>
      </c>
      <c r="D242" s="27" t="inlineStr">
        <is>
          <t>Beverages</t>
        </is>
      </c>
      <c r="E242" s="28" t="n">
        <v>686</v>
      </c>
      <c r="F242" s="44" t="n">
        <v>197</v>
      </c>
      <c r="G242" s="38" t="n">
        <v>0.64</v>
      </c>
      <c r="H242" s="38" t="n">
        <v>0.75</v>
      </c>
      <c r="I242" s="38" t="n">
        <v>0.08</v>
      </c>
      <c r="J242" s="44" t="n">
        <v>5</v>
      </c>
      <c r="K242" s="44" t="n">
        <v>49</v>
      </c>
      <c r="L242" s="43">
        <f>IFERROR(F242/F206-1,0)</f>
        <v/>
      </c>
      <c r="M242" s="13">
        <f>IF(L242&gt;=0,"Green",IF(ABS(L242)&lt;='00_Readme'!$B$14,"Amber","Red"))</f>
        <v/>
      </c>
    </row>
    <row r="243">
      <c r="A243" s="27" t="inlineStr">
        <is>
          <t>Jul 2026</t>
        </is>
      </c>
      <c r="B243" s="27" t="inlineStr">
        <is>
          <t>Jawa Tengah</t>
        </is>
      </c>
      <c r="C243" s="27" t="inlineStr">
        <is>
          <t>Modern Trade</t>
        </is>
      </c>
      <c r="D243" s="27" t="inlineStr">
        <is>
          <t>Personal Care</t>
        </is>
      </c>
      <c r="E243" s="28" t="n">
        <v>685</v>
      </c>
      <c r="F243" s="44" t="n">
        <v>193</v>
      </c>
      <c r="G243" s="38" t="n">
        <v>0.68</v>
      </c>
      <c r="H243" s="38" t="n">
        <v>0.77</v>
      </c>
      <c r="I243" s="38" t="n">
        <v>0.16</v>
      </c>
      <c r="J243" s="44" t="n">
        <v>6</v>
      </c>
      <c r="K243" s="44" t="n">
        <v>42</v>
      </c>
      <c r="L243" s="43">
        <f>IFERROR(F243/F207-1,0)</f>
        <v/>
      </c>
      <c r="M243" s="13">
        <f>IF(L243&gt;=0,"Green",IF(ABS(L243)&lt;='00_Readme'!$B$14,"Amber","Red"))</f>
        <v/>
      </c>
    </row>
    <row r="244">
      <c r="A244" s="27" t="inlineStr">
        <is>
          <t>Jul 2026</t>
        </is>
      </c>
      <c r="B244" s="27" t="inlineStr">
        <is>
          <t>Jawa Tengah</t>
        </is>
      </c>
      <c r="C244" s="27" t="inlineStr">
        <is>
          <t>Modern Trade</t>
        </is>
      </c>
      <c r="D244" s="27" t="inlineStr">
        <is>
          <t>Home Care</t>
        </is>
      </c>
      <c r="E244" s="28" t="n">
        <v>723</v>
      </c>
      <c r="F244" s="44" t="n">
        <v>209</v>
      </c>
      <c r="G244" s="38" t="n">
        <v>0.68</v>
      </c>
      <c r="H244" s="38" t="n">
        <v>0.78</v>
      </c>
      <c r="I244" s="38" t="n">
        <v>0.16</v>
      </c>
      <c r="J244" s="44" t="n">
        <v>7</v>
      </c>
      <c r="K244" s="44" t="n">
        <v>49</v>
      </c>
      <c r="L244" s="43">
        <f>IFERROR(F244/F208-1,0)</f>
        <v/>
      </c>
      <c r="M244" s="13">
        <f>IF(L244&gt;=0,"Green",IF(ABS(L244)&lt;='00_Readme'!$B$14,"Amber","Red"))</f>
        <v/>
      </c>
    </row>
    <row r="245">
      <c r="A245" s="27" t="inlineStr">
        <is>
          <t>Jul 2026</t>
        </is>
      </c>
      <c r="B245" s="27" t="inlineStr">
        <is>
          <t>Jawa Tengah</t>
        </is>
      </c>
      <c r="C245" s="27" t="inlineStr">
        <is>
          <t>Modern Trade</t>
        </is>
      </c>
      <c r="D245" s="27" t="inlineStr">
        <is>
          <t>Beverages</t>
        </is>
      </c>
      <c r="E245" s="28" t="n">
        <v>761</v>
      </c>
      <c r="F245" s="44" t="n">
        <v>225</v>
      </c>
      <c r="G245" s="38" t="n">
        <v>0.68</v>
      </c>
      <c r="H245" s="38" t="n">
        <v>0.79</v>
      </c>
      <c r="I245" s="38" t="n">
        <v>0.16</v>
      </c>
      <c r="J245" s="44" t="n">
        <v>7</v>
      </c>
      <c r="K245" s="44" t="n">
        <v>56</v>
      </c>
      <c r="L245" s="43">
        <f>IFERROR(F245/F209-1,0)</f>
        <v/>
      </c>
      <c r="M245" s="13">
        <f>IF(L245&gt;=0,"Green",IF(ABS(L245)&lt;='00_Readme'!$B$14,"Amber","Red"))</f>
        <v/>
      </c>
    </row>
    <row r="246">
      <c r="A246" s="27" t="inlineStr">
        <is>
          <t>Jul 2026</t>
        </is>
      </c>
      <c r="B246" s="27" t="inlineStr">
        <is>
          <t>Jawa Tengah</t>
        </is>
      </c>
      <c r="C246" s="27" t="inlineStr">
        <is>
          <t>E-commerce</t>
        </is>
      </c>
      <c r="D246" s="27" t="inlineStr">
        <is>
          <t>Personal Care</t>
        </is>
      </c>
      <c r="E246" s="28" t="n">
        <v>760</v>
      </c>
      <c r="F246" s="44" t="n">
        <v>221</v>
      </c>
      <c r="G246" s="38" t="n">
        <v>0.72</v>
      </c>
      <c r="H246" s="38" t="n">
        <v>0.8099999999999999</v>
      </c>
      <c r="I246" s="38" t="n">
        <v>0.24</v>
      </c>
      <c r="J246" s="44" t="n">
        <v>9</v>
      </c>
      <c r="K246" s="44" t="n">
        <v>49</v>
      </c>
      <c r="L246" s="43">
        <f>IFERROR(F246/F210-1,0)</f>
        <v/>
      </c>
      <c r="M246" s="13">
        <f>IF(L246&gt;=0,"Green",IF(ABS(L246)&lt;='00_Readme'!$B$14,"Amber","Red"))</f>
        <v/>
      </c>
    </row>
    <row r="247">
      <c r="A247" s="27" t="inlineStr">
        <is>
          <t>Jul 2026</t>
        </is>
      </c>
      <c r="B247" s="27" t="inlineStr">
        <is>
          <t>Jawa Tengah</t>
        </is>
      </c>
      <c r="C247" s="27" t="inlineStr">
        <is>
          <t>E-commerce</t>
        </is>
      </c>
      <c r="D247" s="27" t="inlineStr">
        <is>
          <t>Home Care</t>
        </is>
      </c>
      <c r="E247" s="28" t="n">
        <v>798</v>
      </c>
      <c r="F247" s="44" t="n">
        <v>237</v>
      </c>
      <c r="G247" s="38" t="n">
        <v>0.72</v>
      </c>
      <c r="H247" s="38" t="n">
        <v>0.82</v>
      </c>
      <c r="I247" s="38" t="n">
        <v>0.24</v>
      </c>
      <c r="J247" s="44" t="n">
        <v>10</v>
      </c>
      <c r="K247" s="44" t="n">
        <v>56</v>
      </c>
      <c r="L247" s="43">
        <f>IFERROR(F247/F211-1,0)</f>
        <v/>
      </c>
      <c r="M247" s="13">
        <f>IF(L247&gt;=0,"Green",IF(ABS(L247)&lt;='00_Readme'!$B$14,"Amber","Red"))</f>
        <v/>
      </c>
    </row>
    <row r="248">
      <c r="A248" s="27" t="inlineStr">
        <is>
          <t>Jul 2026</t>
        </is>
      </c>
      <c r="B248" s="27" t="inlineStr">
        <is>
          <t>Jawa Tengah</t>
        </is>
      </c>
      <c r="C248" s="27" t="inlineStr">
        <is>
          <t>E-commerce</t>
        </is>
      </c>
      <c r="D248" s="27" t="inlineStr">
        <is>
          <t>Beverages</t>
        </is>
      </c>
      <c r="E248" s="28" t="n">
        <v>836</v>
      </c>
      <c r="F248" s="44" t="n">
        <v>253</v>
      </c>
      <c r="G248" s="38" t="n">
        <v>0.72</v>
      </c>
      <c r="H248" s="38" t="n">
        <v>0.83</v>
      </c>
      <c r="I248" s="38" t="n">
        <v>0.24</v>
      </c>
      <c r="J248" s="44" t="n">
        <v>10</v>
      </c>
      <c r="K248" s="44" t="n">
        <v>63</v>
      </c>
      <c r="L248" s="43">
        <f>IFERROR(F248/F212-1,0)</f>
        <v/>
      </c>
      <c r="M248" s="13">
        <f>IF(L248&gt;=0,"Green",IF(ABS(L248)&lt;='00_Readme'!$B$14,"Amber","Red"))</f>
        <v/>
      </c>
    </row>
    <row r="249">
      <c r="A249" s="27" t="inlineStr">
        <is>
          <t>Jul 2026</t>
        </is>
      </c>
      <c r="B249" s="27" t="inlineStr">
        <is>
          <t>Jawa Timur</t>
        </is>
      </c>
      <c r="C249" s="27" t="inlineStr">
        <is>
          <t>General Trade</t>
        </is>
      </c>
      <c r="D249" s="27" t="inlineStr">
        <is>
          <t>Personal Care</t>
        </is>
      </c>
      <c r="E249" s="28" t="n">
        <v>662</v>
      </c>
      <c r="F249" s="44" t="n">
        <v>178</v>
      </c>
      <c r="G249" s="38" t="n">
        <v>0.7</v>
      </c>
      <c r="H249" s="38" t="n">
        <v>0.7899999999999999</v>
      </c>
      <c r="I249" s="38" t="n">
        <v>0.08</v>
      </c>
      <c r="J249" s="44" t="n">
        <v>4</v>
      </c>
      <c r="K249" s="44" t="n">
        <v>39</v>
      </c>
      <c r="L249" s="43">
        <f>IFERROR(F249/F213-1,0)</f>
        <v/>
      </c>
      <c r="M249" s="13">
        <f>IF(L249&gt;=0,"Green",IF(ABS(L249)&lt;='00_Readme'!$B$14,"Amber","Red"))</f>
        <v/>
      </c>
    </row>
    <row r="250">
      <c r="A250" s="27" t="inlineStr">
        <is>
          <t>Jul 2026</t>
        </is>
      </c>
      <c r="B250" s="27" t="inlineStr">
        <is>
          <t>Jawa Timur</t>
        </is>
      </c>
      <c r="C250" s="27" t="inlineStr">
        <is>
          <t>General Trade</t>
        </is>
      </c>
      <c r="D250" s="27" t="inlineStr">
        <is>
          <t>Home Care</t>
        </is>
      </c>
      <c r="E250" s="28" t="n">
        <v>700</v>
      </c>
      <c r="F250" s="44" t="n">
        <v>194</v>
      </c>
      <c r="G250" s="38" t="n">
        <v>0.7</v>
      </c>
      <c r="H250" s="38" t="n">
        <v>0.7999999999999999</v>
      </c>
      <c r="I250" s="38" t="n">
        <v>0.08</v>
      </c>
      <c r="J250" s="44" t="n">
        <v>5</v>
      </c>
      <c r="K250" s="44" t="n">
        <v>46</v>
      </c>
      <c r="L250" s="43">
        <f>IFERROR(F250/F214-1,0)</f>
        <v/>
      </c>
      <c r="M250" s="13">
        <f>IF(L250&gt;=0,"Green",IF(ABS(L250)&lt;='00_Readme'!$B$14,"Amber","Red"))</f>
        <v/>
      </c>
    </row>
    <row r="251">
      <c r="A251" s="27" t="inlineStr">
        <is>
          <t>Jul 2026</t>
        </is>
      </c>
      <c r="B251" s="27" t="inlineStr">
        <is>
          <t>Jawa Timur</t>
        </is>
      </c>
      <c r="C251" s="27" t="inlineStr">
        <is>
          <t>General Trade</t>
        </is>
      </c>
      <c r="D251" s="27" t="inlineStr">
        <is>
          <t>Beverages</t>
        </is>
      </c>
      <c r="E251" s="28" t="n">
        <v>738</v>
      </c>
      <c r="F251" s="44" t="n">
        <v>210</v>
      </c>
      <c r="G251" s="38" t="n">
        <v>0.7</v>
      </c>
      <c r="H251" s="38" t="n">
        <v>0.8099999999999999</v>
      </c>
      <c r="I251" s="38" t="n">
        <v>0.08</v>
      </c>
      <c r="J251" s="44" t="n">
        <v>5</v>
      </c>
      <c r="K251" s="44" t="n">
        <v>52</v>
      </c>
      <c r="L251" s="43">
        <f>IFERROR(F251/F215-1,0)</f>
        <v/>
      </c>
      <c r="M251" s="13">
        <f>IF(L251&gt;=0,"Green",IF(ABS(L251)&lt;='00_Readme'!$B$14,"Amber","Red"))</f>
        <v/>
      </c>
    </row>
    <row r="252">
      <c r="A252" s="27" t="inlineStr">
        <is>
          <t>Jul 2026</t>
        </is>
      </c>
      <c r="B252" s="27" t="inlineStr">
        <is>
          <t>Jawa Timur</t>
        </is>
      </c>
      <c r="C252" s="27" t="inlineStr">
        <is>
          <t>Modern Trade</t>
        </is>
      </c>
      <c r="D252" s="27" t="inlineStr">
        <is>
          <t>Personal Care</t>
        </is>
      </c>
      <c r="E252" s="28" t="n">
        <v>737</v>
      </c>
      <c r="F252" s="44" t="n">
        <v>206</v>
      </c>
      <c r="G252" s="38" t="n">
        <v>0.74</v>
      </c>
      <c r="H252" s="38" t="n">
        <v>0.83</v>
      </c>
      <c r="I252" s="38" t="n">
        <v>0.16</v>
      </c>
      <c r="J252" s="44" t="n">
        <v>7</v>
      </c>
      <c r="K252" s="44" t="n">
        <v>45</v>
      </c>
      <c r="L252" s="43">
        <f>IFERROR(F252/F216-1,0)</f>
        <v/>
      </c>
      <c r="M252" s="13">
        <f>IF(L252&gt;=0,"Green",IF(ABS(L252)&lt;='00_Readme'!$B$14,"Amber","Red"))</f>
        <v/>
      </c>
    </row>
    <row r="253">
      <c r="A253" s="27" t="inlineStr">
        <is>
          <t>Jul 2026</t>
        </is>
      </c>
      <c r="B253" s="27" t="inlineStr">
        <is>
          <t>Jawa Timur</t>
        </is>
      </c>
      <c r="C253" s="27" t="inlineStr">
        <is>
          <t>Modern Trade</t>
        </is>
      </c>
      <c r="D253" s="27" t="inlineStr">
        <is>
          <t>Home Care</t>
        </is>
      </c>
      <c r="E253" s="28" t="n">
        <v>775</v>
      </c>
      <c r="F253" s="44" t="n">
        <v>222</v>
      </c>
      <c r="G253" s="38" t="n">
        <v>0.74</v>
      </c>
      <c r="H253" s="38" t="n">
        <v>0.84</v>
      </c>
      <c r="I253" s="38" t="n">
        <v>0.16</v>
      </c>
      <c r="J253" s="44" t="n">
        <v>7</v>
      </c>
      <c r="K253" s="44" t="n">
        <v>52</v>
      </c>
      <c r="L253" s="43">
        <f>IFERROR(F253/F217-1,0)</f>
        <v/>
      </c>
      <c r="M253" s="13">
        <f>IF(L253&gt;=0,"Green",IF(ABS(L253)&lt;='00_Readme'!$B$14,"Amber","Red"))</f>
        <v/>
      </c>
    </row>
    <row r="254">
      <c r="A254" s="27" t="inlineStr">
        <is>
          <t>Jul 2026</t>
        </is>
      </c>
      <c r="B254" s="27" t="inlineStr">
        <is>
          <t>Jawa Timur</t>
        </is>
      </c>
      <c r="C254" s="27" t="inlineStr">
        <is>
          <t>Modern Trade</t>
        </is>
      </c>
      <c r="D254" s="27" t="inlineStr">
        <is>
          <t>Beverages</t>
        </is>
      </c>
      <c r="E254" s="28" t="n">
        <v>813</v>
      </c>
      <c r="F254" s="44" t="n">
        <v>238</v>
      </c>
      <c r="G254" s="38" t="n">
        <v>0.74</v>
      </c>
      <c r="H254" s="38" t="n">
        <v>0.85</v>
      </c>
      <c r="I254" s="38" t="n">
        <v>0.16</v>
      </c>
      <c r="J254" s="44" t="n">
        <v>8</v>
      </c>
      <c r="K254" s="44" t="n">
        <v>60</v>
      </c>
      <c r="L254" s="43">
        <f>IFERROR(F254/F218-1,0)</f>
        <v/>
      </c>
      <c r="M254" s="13">
        <f>IF(L254&gt;=0,"Green",IF(ABS(L254)&lt;='00_Readme'!$B$14,"Amber","Red"))</f>
        <v/>
      </c>
    </row>
    <row r="255">
      <c r="A255" s="27" t="inlineStr">
        <is>
          <t>Jul 2026</t>
        </is>
      </c>
      <c r="B255" s="27" t="inlineStr">
        <is>
          <t>Jawa Timur</t>
        </is>
      </c>
      <c r="C255" s="27" t="inlineStr">
        <is>
          <t>E-commerce</t>
        </is>
      </c>
      <c r="D255" s="27" t="inlineStr">
        <is>
          <t>Personal Care</t>
        </is>
      </c>
      <c r="E255" s="28" t="n">
        <v>812</v>
      </c>
      <c r="F255" s="44" t="n">
        <v>234</v>
      </c>
      <c r="G255" s="38" t="n">
        <v>0.7799999999999999</v>
      </c>
      <c r="H255" s="38" t="n">
        <v>0.8699999999999999</v>
      </c>
      <c r="I255" s="38" t="n">
        <v>0.24</v>
      </c>
      <c r="J255" s="44" t="n">
        <v>10</v>
      </c>
      <c r="K255" s="44" t="n">
        <v>51</v>
      </c>
      <c r="L255" s="43">
        <f>IFERROR(F255/F219-1,0)</f>
        <v/>
      </c>
      <c r="M255" s="13">
        <f>IF(L255&gt;=0,"Green",IF(ABS(L255)&lt;='00_Readme'!$B$14,"Amber","Red"))</f>
        <v/>
      </c>
    </row>
    <row r="256">
      <c r="A256" s="27" t="inlineStr">
        <is>
          <t>Jul 2026</t>
        </is>
      </c>
      <c r="B256" s="27" t="inlineStr">
        <is>
          <t>Jawa Timur</t>
        </is>
      </c>
      <c r="C256" s="27" t="inlineStr">
        <is>
          <t>E-commerce</t>
        </is>
      </c>
      <c r="D256" s="27" t="inlineStr">
        <is>
          <t>Home Care</t>
        </is>
      </c>
      <c r="E256" s="28" t="n">
        <v>850</v>
      </c>
      <c r="F256" s="44" t="n">
        <v>250</v>
      </c>
      <c r="G256" s="38" t="n">
        <v>0.7799999999999999</v>
      </c>
      <c r="H256" s="38" t="n">
        <v>0.8799999999999999</v>
      </c>
      <c r="I256" s="38" t="n">
        <v>0.24</v>
      </c>
      <c r="J256" s="44" t="n">
        <v>10</v>
      </c>
      <c r="K256" s="44" t="n">
        <v>59</v>
      </c>
      <c r="L256" s="43">
        <f>IFERROR(F256/F220-1,0)</f>
        <v/>
      </c>
      <c r="M256" s="13">
        <f>IF(L256&gt;=0,"Green",IF(ABS(L256)&lt;='00_Readme'!$B$14,"Amber","Red"))</f>
        <v/>
      </c>
    </row>
    <row r="257">
      <c r="A257" s="27" t="inlineStr">
        <is>
          <t>Jul 2026</t>
        </is>
      </c>
      <c r="B257" s="27" t="inlineStr">
        <is>
          <t>Jawa Timur</t>
        </is>
      </c>
      <c r="C257" s="27" t="inlineStr">
        <is>
          <t>E-commerce</t>
        </is>
      </c>
      <c r="D257" s="27" t="inlineStr">
        <is>
          <t>Beverages</t>
        </is>
      </c>
      <c r="E257" s="28" t="n">
        <v>888</v>
      </c>
      <c r="F257" s="44" t="n">
        <v>266</v>
      </c>
      <c r="G257" s="38" t="n">
        <v>0.7799999999999999</v>
      </c>
      <c r="H257" s="38" t="n">
        <v>0.8899999999999999</v>
      </c>
      <c r="I257" s="38" t="n">
        <v>0.24</v>
      </c>
      <c r="J257" s="44" t="n">
        <v>11</v>
      </c>
      <c r="K257" s="44" t="n">
        <v>66</v>
      </c>
      <c r="L257" s="43">
        <f>IFERROR(F257/F221-1,0)</f>
        <v/>
      </c>
      <c r="M257" s="13">
        <f>IF(L257&gt;=0,"Green",IF(ABS(L257)&lt;='00_Readme'!$B$14,"Amber","Red"))</f>
        <v/>
      </c>
    </row>
    <row r="258">
      <c r="A258" s="27" t="inlineStr">
        <is>
          <t>Aug 2026</t>
        </is>
      </c>
      <c r="B258" s="27" t="inlineStr">
        <is>
          <t>Jabodetabek</t>
        </is>
      </c>
      <c r="C258" s="27" t="inlineStr">
        <is>
          <t>General Trade</t>
        </is>
      </c>
      <c r="D258" s="27" t="inlineStr">
        <is>
          <t>Personal Care</t>
        </is>
      </c>
      <c r="E258" s="28" t="n">
        <v>544</v>
      </c>
      <c r="F258" s="44" t="n">
        <v>151</v>
      </c>
      <c r="G258" s="38" t="n">
        <v>0.53</v>
      </c>
      <c r="H258" s="38" t="n">
        <v>0.62</v>
      </c>
      <c r="I258" s="38" t="n">
        <v>0.09</v>
      </c>
      <c r="J258" s="44" t="n">
        <v>4</v>
      </c>
      <c r="K258" s="44" t="n">
        <v>33</v>
      </c>
      <c r="L258" s="43">
        <f>IFERROR(F258/F222-1,0)</f>
        <v/>
      </c>
      <c r="M258" s="13">
        <f>IF(L258&gt;=0,"Green",IF(ABS(L258)&lt;='00_Readme'!$B$14,"Amber","Red"))</f>
        <v/>
      </c>
    </row>
    <row r="259">
      <c r="A259" s="27" t="inlineStr">
        <is>
          <t>Aug 2026</t>
        </is>
      </c>
      <c r="B259" s="27" t="inlineStr">
        <is>
          <t>Jabodetabek</t>
        </is>
      </c>
      <c r="C259" s="27" t="inlineStr">
        <is>
          <t>General Trade</t>
        </is>
      </c>
      <c r="D259" s="27" t="inlineStr">
        <is>
          <t>Home Care</t>
        </is>
      </c>
      <c r="E259" s="28" t="n">
        <v>582</v>
      </c>
      <c r="F259" s="44" t="n">
        <v>167</v>
      </c>
      <c r="G259" s="38" t="n">
        <v>0.53</v>
      </c>
      <c r="H259" s="38" t="n">
        <v>0.63</v>
      </c>
      <c r="I259" s="38" t="n">
        <v>0.09</v>
      </c>
      <c r="J259" s="44" t="n">
        <v>4</v>
      </c>
      <c r="K259" s="44" t="n">
        <v>39</v>
      </c>
      <c r="L259" s="43">
        <f>IFERROR(F259/F223-1,0)</f>
        <v/>
      </c>
      <c r="M259" s="13">
        <f>IF(L259&gt;=0,"Green",IF(ABS(L259)&lt;='00_Readme'!$B$14,"Amber","Red"))</f>
        <v/>
      </c>
    </row>
    <row r="260">
      <c r="A260" s="27" t="inlineStr">
        <is>
          <t>Aug 2026</t>
        </is>
      </c>
      <c r="B260" s="27" t="inlineStr">
        <is>
          <t>Jabodetabek</t>
        </is>
      </c>
      <c r="C260" s="27" t="inlineStr">
        <is>
          <t>General Trade</t>
        </is>
      </c>
      <c r="D260" s="27" t="inlineStr">
        <is>
          <t>Beverages</t>
        </is>
      </c>
      <c r="E260" s="28" t="n">
        <v>620</v>
      </c>
      <c r="F260" s="44" t="n">
        <v>183</v>
      </c>
      <c r="G260" s="38" t="n">
        <v>0.53</v>
      </c>
      <c r="H260" s="38" t="n">
        <v>0.64</v>
      </c>
      <c r="I260" s="38" t="n">
        <v>0.09</v>
      </c>
      <c r="J260" s="44" t="n">
        <v>5</v>
      </c>
      <c r="K260" s="44" t="n">
        <v>46</v>
      </c>
      <c r="L260" s="43">
        <f>IFERROR(F260/F224-1,0)</f>
        <v/>
      </c>
      <c r="M260" s="13">
        <f>IF(L260&gt;=0,"Green",IF(ABS(L260)&lt;='00_Readme'!$B$14,"Amber","Red"))</f>
        <v/>
      </c>
    </row>
    <row r="261">
      <c r="A261" s="27" t="inlineStr">
        <is>
          <t>Aug 2026</t>
        </is>
      </c>
      <c r="B261" s="27" t="inlineStr">
        <is>
          <t>Jabodetabek</t>
        </is>
      </c>
      <c r="C261" s="27" t="inlineStr">
        <is>
          <t>Modern Trade</t>
        </is>
      </c>
      <c r="D261" s="27" t="inlineStr">
        <is>
          <t>Personal Care</t>
        </is>
      </c>
      <c r="E261" s="28" t="n">
        <v>619</v>
      </c>
      <c r="F261" s="44" t="n">
        <v>179</v>
      </c>
      <c r="G261" s="38" t="n">
        <v>0.5700000000000001</v>
      </c>
      <c r="H261" s="38" t="n">
        <v>0.66</v>
      </c>
      <c r="I261" s="38" t="n">
        <v>0.17</v>
      </c>
      <c r="J261" s="44" t="n">
        <v>6</v>
      </c>
      <c r="K261" s="44" t="n">
        <v>39</v>
      </c>
      <c r="L261" s="43">
        <f>IFERROR(F261/F225-1,0)</f>
        <v/>
      </c>
      <c r="M261" s="13">
        <f>IF(L261&gt;=0,"Green",IF(ABS(L261)&lt;='00_Readme'!$B$14,"Amber","Red"))</f>
        <v/>
      </c>
    </row>
    <row r="262">
      <c r="A262" s="27" t="inlineStr">
        <is>
          <t>Aug 2026</t>
        </is>
      </c>
      <c r="B262" s="27" t="inlineStr">
        <is>
          <t>Jabodetabek</t>
        </is>
      </c>
      <c r="C262" s="27" t="inlineStr">
        <is>
          <t>Modern Trade</t>
        </is>
      </c>
      <c r="D262" s="27" t="inlineStr">
        <is>
          <t>Home Care</t>
        </is>
      </c>
      <c r="E262" s="28" t="n">
        <v>657</v>
      </c>
      <c r="F262" s="44" t="n">
        <v>195</v>
      </c>
      <c r="G262" s="38" t="n">
        <v>0.5700000000000001</v>
      </c>
      <c r="H262" s="38" t="n">
        <v>0.67</v>
      </c>
      <c r="I262" s="38" t="n">
        <v>0.17</v>
      </c>
      <c r="J262" s="44" t="n">
        <v>6</v>
      </c>
      <c r="K262" s="44" t="n">
        <v>46</v>
      </c>
      <c r="L262" s="43">
        <f>IFERROR(F262/F226-1,0)</f>
        <v/>
      </c>
      <c r="M262" s="13">
        <f>IF(L262&gt;=0,"Green",IF(ABS(L262)&lt;='00_Readme'!$B$14,"Amber","Red"))</f>
        <v/>
      </c>
    </row>
    <row r="263">
      <c r="A263" s="27" t="inlineStr">
        <is>
          <t>Aug 2026</t>
        </is>
      </c>
      <c r="B263" s="27" t="inlineStr">
        <is>
          <t>Jabodetabek</t>
        </is>
      </c>
      <c r="C263" s="27" t="inlineStr">
        <is>
          <t>Modern Trade</t>
        </is>
      </c>
      <c r="D263" s="27" t="inlineStr">
        <is>
          <t>Beverages</t>
        </is>
      </c>
      <c r="E263" s="28" t="n">
        <v>695</v>
      </c>
      <c r="F263" s="44" t="n">
        <v>211</v>
      </c>
      <c r="G263" s="38" t="n">
        <v>0.5700000000000001</v>
      </c>
      <c r="H263" s="38" t="n">
        <v>0.68</v>
      </c>
      <c r="I263" s="38" t="n">
        <v>0.17</v>
      </c>
      <c r="J263" s="44" t="n">
        <v>7</v>
      </c>
      <c r="K263" s="44" t="n">
        <v>53</v>
      </c>
      <c r="L263" s="43">
        <f>IFERROR(F263/F227-1,0)</f>
        <v/>
      </c>
      <c r="M263" s="13">
        <f>IF(L263&gt;=0,"Green",IF(ABS(L263)&lt;='00_Readme'!$B$14,"Amber","Red"))</f>
        <v/>
      </c>
    </row>
    <row r="264">
      <c r="A264" s="27" t="inlineStr">
        <is>
          <t>Aug 2026</t>
        </is>
      </c>
      <c r="B264" s="27" t="inlineStr">
        <is>
          <t>Jabodetabek</t>
        </is>
      </c>
      <c r="C264" s="27" t="inlineStr">
        <is>
          <t>E-commerce</t>
        </is>
      </c>
      <c r="D264" s="27" t="inlineStr">
        <is>
          <t>Personal Care</t>
        </is>
      </c>
      <c r="E264" s="28" t="n">
        <v>694</v>
      </c>
      <c r="F264" s="44" t="n">
        <v>207</v>
      </c>
      <c r="G264" s="38" t="n">
        <v>0.61</v>
      </c>
      <c r="H264" s="38" t="n">
        <v>0.7</v>
      </c>
      <c r="I264" s="38" t="n">
        <v>0.25</v>
      </c>
      <c r="J264" s="44" t="n">
        <v>8</v>
      </c>
      <c r="K264" s="44" t="n">
        <v>46</v>
      </c>
      <c r="L264" s="43">
        <f>IFERROR(F264/F228-1,0)</f>
        <v/>
      </c>
      <c r="M264" s="13">
        <f>IF(L264&gt;=0,"Green",IF(ABS(L264)&lt;='00_Readme'!$B$14,"Amber","Red"))</f>
        <v/>
      </c>
    </row>
    <row r="265">
      <c r="A265" s="27" t="inlineStr">
        <is>
          <t>Aug 2026</t>
        </is>
      </c>
      <c r="B265" s="27" t="inlineStr">
        <is>
          <t>Jabodetabek</t>
        </is>
      </c>
      <c r="C265" s="27" t="inlineStr">
        <is>
          <t>E-commerce</t>
        </is>
      </c>
      <c r="D265" s="27" t="inlineStr">
        <is>
          <t>Home Care</t>
        </is>
      </c>
      <c r="E265" s="28" t="n">
        <v>732</v>
      </c>
      <c r="F265" s="44" t="n">
        <v>223</v>
      </c>
      <c r="G265" s="38" t="n">
        <v>0.61</v>
      </c>
      <c r="H265" s="38" t="n">
        <v>0.71</v>
      </c>
      <c r="I265" s="38" t="n">
        <v>0.25</v>
      </c>
      <c r="J265" s="44" t="n">
        <v>9</v>
      </c>
      <c r="K265" s="44" t="n">
        <v>52</v>
      </c>
      <c r="L265" s="43">
        <f>IFERROR(F265/F229-1,0)</f>
        <v/>
      </c>
      <c r="M265" s="13">
        <f>IF(L265&gt;=0,"Green",IF(ABS(L265)&lt;='00_Readme'!$B$14,"Amber","Red"))</f>
        <v/>
      </c>
    </row>
    <row r="266">
      <c r="A266" s="27" t="inlineStr">
        <is>
          <t>Aug 2026</t>
        </is>
      </c>
      <c r="B266" s="27" t="inlineStr">
        <is>
          <t>Jabodetabek</t>
        </is>
      </c>
      <c r="C266" s="27" t="inlineStr">
        <is>
          <t>E-commerce</t>
        </is>
      </c>
      <c r="D266" s="27" t="inlineStr">
        <is>
          <t>Beverages</t>
        </is>
      </c>
      <c r="E266" s="28" t="n">
        <v>770</v>
      </c>
      <c r="F266" s="44" t="n">
        <v>239</v>
      </c>
      <c r="G266" s="38" t="n">
        <v>0.61</v>
      </c>
      <c r="H266" s="38" t="n">
        <v>0.72</v>
      </c>
      <c r="I266" s="38" t="n">
        <v>0.25</v>
      </c>
      <c r="J266" s="44" t="n">
        <v>10</v>
      </c>
      <c r="K266" s="44" t="n">
        <v>60</v>
      </c>
      <c r="L266" s="43">
        <f>IFERROR(F266/F230-1,0)</f>
        <v/>
      </c>
      <c r="M266" s="13">
        <f>IF(L266&gt;=0,"Green",IF(ABS(L266)&lt;='00_Readme'!$B$14,"Amber","Red"))</f>
        <v/>
      </c>
    </row>
    <row r="267">
      <c r="A267" s="27" t="inlineStr">
        <is>
          <t>Aug 2026</t>
        </is>
      </c>
      <c r="B267" s="27" t="inlineStr">
        <is>
          <t>Jawa Barat</t>
        </is>
      </c>
      <c r="C267" s="27" t="inlineStr">
        <is>
          <t>General Trade</t>
        </is>
      </c>
      <c r="D267" s="27" t="inlineStr">
        <is>
          <t>Personal Care</t>
        </is>
      </c>
      <c r="E267" s="28" t="n">
        <v>596</v>
      </c>
      <c r="F267" s="44" t="n">
        <v>164</v>
      </c>
      <c r="G267" s="38" t="n">
        <v>0.5900000000000001</v>
      </c>
      <c r="H267" s="38" t="n">
        <v>0.68</v>
      </c>
      <c r="I267" s="38" t="n">
        <v>0.09</v>
      </c>
      <c r="J267" s="44" t="n">
        <v>4</v>
      </c>
      <c r="K267" s="44" t="n">
        <v>36</v>
      </c>
      <c r="L267" s="43">
        <f>IFERROR(F267/F231-1,0)</f>
        <v/>
      </c>
      <c r="M267" s="13">
        <f>IF(L267&gt;=0,"Green",IF(ABS(L267)&lt;='00_Readme'!$B$14,"Amber","Red"))</f>
        <v/>
      </c>
    </row>
    <row r="268">
      <c r="A268" s="27" t="inlineStr">
        <is>
          <t>Aug 2026</t>
        </is>
      </c>
      <c r="B268" s="27" t="inlineStr">
        <is>
          <t>Jawa Barat</t>
        </is>
      </c>
      <c r="C268" s="27" t="inlineStr">
        <is>
          <t>General Trade</t>
        </is>
      </c>
      <c r="D268" s="27" t="inlineStr">
        <is>
          <t>Home Care</t>
        </is>
      </c>
      <c r="E268" s="28" t="n">
        <v>634</v>
      </c>
      <c r="F268" s="44" t="n">
        <v>180</v>
      </c>
      <c r="G268" s="38" t="n">
        <v>0.5900000000000001</v>
      </c>
      <c r="H268" s="38" t="n">
        <v>0.6900000000000001</v>
      </c>
      <c r="I268" s="38" t="n">
        <v>0.09</v>
      </c>
      <c r="J268" s="44" t="n">
        <v>4</v>
      </c>
      <c r="K268" s="44" t="n">
        <v>42</v>
      </c>
      <c r="L268" s="43">
        <f>IFERROR(F268/F232-1,0)</f>
        <v/>
      </c>
      <c r="M268" s="13">
        <f>IF(L268&gt;=0,"Green",IF(ABS(L268)&lt;='00_Readme'!$B$14,"Amber","Red"))</f>
        <v/>
      </c>
    </row>
    <row r="269">
      <c r="A269" s="27" t="inlineStr">
        <is>
          <t>Aug 2026</t>
        </is>
      </c>
      <c r="B269" s="27" t="inlineStr">
        <is>
          <t>Jawa Barat</t>
        </is>
      </c>
      <c r="C269" s="27" t="inlineStr">
        <is>
          <t>General Trade</t>
        </is>
      </c>
      <c r="D269" s="27" t="inlineStr">
        <is>
          <t>Beverages</t>
        </is>
      </c>
      <c r="E269" s="28" t="n">
        <v>672</v>
      </c>
      <c r="F269" s="44" t="n">
        <v>196</v>
      </c>
      <c r="G269" s="38" t="n">
        <v>0.5900000000000001</v>
      </c>
      <c r="H269" s="38" t="n">
        <v>0.7000000000000001</v>
      </c>
      <c r="I269" s="38" t="n">
        <v>0.09</v>
      </c>
      <c r="J269" s="44" t="n">
        <v>5</v>
      </c>
      <c r="K269" s="44" t="n">
        <v>49</v>
      </c>
      <c r="L269" s="43">
        <f>IFERROR(F269/F233-1,0)</f>
        <v/>
      </c>
      <c r="M269" s="13">
        <f>IF(L269&gt;=0,"Green",IF(ABS(L269)&lt;='00_Readme'!$B$14,"Amber","Red"))</f>
        <v/>
      </c>
    </row>
    <row r="270">
      <c r="A270" s="27" t="inlineStr">
        <is>
          <t>Aug 2026</t>
        </is>
      </c>
      <c r="B270" s="27" t="inlineStr">
        <is>
          <t>Jawa Barat</t>
        </is>
      </c>
      <c r="C270" s="27" t="inlineStr">
        <is>
          <t>Modern Trade</t>
        </is>
      </c>
      <c r="D270" s="27" t="inlineStr">
        <is>
          <t>Personal Care</t>
        </is>
      </c>
      <c r="E270" s="28" t="n">
        <v>671</v>
      </c>
      <c r="F270" s="44" t="n">
        <v>192</v>
      </c>
      <c r="G270" s="38" t="n">
        <v>0.6300000000000001</v>
      </c>
      <c r="H270" s="38" t="n">
        <v>0.7200000000000001</v>
      </c>
      <c r="I270" s="38" t="n">
        <v>0.17</v>
      </c>
      <c r="J270" s="44" t="n">
        <v>6</v>
      </c>
      <c r="K270" s="44" t="n">
        <v>42</v>
      </c>
      <c r="L270" s="43">
        <f>IFERROR(F270/F234-1,0)</f>
        <v/>
      </c>
      <c r="M270" s="13">
        <f>IF(L270&gt;=0,"Green",IF(ABS(L270)&lt;='00_Readme'!$B$14,"Amber","Red"))</f>
        <v/>
      </c>
    </row>
    <row r="271">
      <c r="A271" s="27" t="inlineStr">
        <is>
          <t>Aug 2026</t>
        </is>
      </c>
      <c r="B271" s="27" t="inlineStr">
        <is>
          <t>Jawa Barat</t>
        </is>
      </c>
      <c r="C271" s="27" t="inlineStr">
        <is>
          <t>Modern Trade</t>
        </is>
      </c>
      <c r="D271" s="27" t="inlineStr">
        <is>
          <t>Home Care</t>
        </is>
      </c>
      <c r="E271" s="28" t="n">
        <v>709</v>
      </c>
      <c r="F271" s="44" t="n">
        <v>208</v>
      </c>
      <c r="G271" s="38" t="n">
        <v>0.6300000000000001</v>
      </c>
      <c r="H271" s="38" t="n">
        <v>0.7300000000000001</v>
      </c>
      <c r="I271" s="38" t="n">
        <v>0.17</v>
      </c>
      <c r="J271" s="44" t="n">
        <v>7</v>
      </c>
      <c r="K271" s="44" t="n">
        <v>49</v>
      </c>
      <c r="L271" s="43">
        <f>IFERROR(F271/F235-1,0)</f>
        <v/>
      </c>
      <c r="M271" s="13">
        <f>IF(L271&gt;=0,"Green",IF(ABS(L271)&lt;='00_Readme'!$B$14,"Amber","Red"))</f>
        <v/>
      </c>
    </row>
    <row r="272">
      <c r="A272" s="27" t="inlineStr">
        <is>
          <t>Aug 2026</t>
        </is>
      </c>
      <c r="B272" s="27" t="inlineStr">
        <is>
          <t>Jawa Barat</t>
        </is>
      </c>
      <c r="C272" s="27" t="inlineStr">
        <is>
          <t>Modern Trade</t>
        </is>
      </c>
      <c r="D272" s="27" t="inlineStr">
        <is>
          <t>Beverages</t>
        </is>
      </c>
      <c r="E272" s="28" t="n">
        <v>747</v>
      </c>
      <c r="F272" s="44" t="n">
        <v>224</v>
      </c>
      <c r="G272" s="38" t="n">
        <v>0.6300000000000001</v>
      </c>
      <c r="H272" s="38" t="n">
        <v>0.7400000000000001</v>
      </c>
      <c r="I272" s="38" t="n">
        <v>0.17</v>
      </c>
      <c r="J272" s="44" t="n">
        <v>7</v>
      </c>
      <c r="K272" s="44" t="n">
        <v>56</v>
      </c>
      <c r="L272" s="43">
        <f>IFERROR(F272/F236-1,0)</f>
        <v/>
      </c>
      <c r="M272" s="13">
        <f>IF(L272&gt;=0,"Green",IF(ABS(L272)&lt;='00_Readme'!$B$14,"Amber","Red"))</f>
        <v/>
      </c>
    </row>
    <row r="273">
      <c r="A273" s="27" t="inlineStr">
        <is>
          <t>Aug 2026</t>
        </is>
      </c>
      <c r="B273" s="27" t="inlineStr">
        <is>
          <t>Jawa Barat</t>
        </is>
      </c>
      <c r="C273" s="27" t="inlineStr">
        <is>
          <t>E-commerce</t>
        </is>
      </c>
      <c r="D273" s="27" t="inlineStr">
        <is>
          <t>Personal Care</t>
        </is>
      </c>
      <c r="E273" s="28" t="n">
        <v>746</v>
      </c>
      <c r="F273" s="44" t="n">
        <v>220</v>
      </c>
      <c r="G273" s="38" t="n">
        <v>0.67</v>
      </c>
      <c r="H273" s="38" t="n">
        <v>0.76</v>
      </c>
      <c r="I273" s="38" t="n">
        <v>0.25</v>
      </c>
      <c r="J273" s="44" t="n">
        <v>9</v>
      </c>
      <c r="K273" s="44" t="n">
        <v>48</v>
      </c>
      <c r="L273" s="43">
        <f>IFERROR(F273/F237-1,0)</f>
        <v/>
      </c>
      <c r="M273" s="13">
        <f>IF(L273&gt;=0,"Green",IF(ABS(L273)&lt;='00_Readme'!$B$14,"Amber","Red"))</f>
        <v/>
      </c>
    </row>
    <row r="274">
      <c r="A274" s="27" t="inlineStr">
        <is>
          <t>Aug 2026</t>
        </is>
      </c>
      <c r="B274" s="27" t="inlineStr">
        <is>
          <t>Jawa Barat</t>
        </is>
      </c>
      <c r="C274" s="27" t="inlineStr">
        <is>
          <t>E-commerce</t>
        </is>
      </c>
      <c r="D274" s="27" t="inlineStr">
        <is>
          <t>Home Care</t>
        </is>
      </c>
      <c r="E274" s="28" t="n">
        <v>784</v>
      </c>
      <c r="F274" s="44" t="n">
        <v>236</v>
      </c>
      <c r="G274" s="38" t="n">
        <v>0.67</v>
      </c>
      <c r="H274" s="38" t="n">
        <v>0.77</v>
      </c>
      <c r="I274" s="38" t="n">
        <v>0.25</v>
      </c>
      <c r="J274" s="44" t="n">
        <v>10</v>
      </c>
      <c r="K274" s="44" t="n">
        <v>55</v>
      </c>
      <c r="L274" s="43">
        <f>IFERROR(F274/F238-1,0)</f>
        <v/>
      </c>
      <c r="M274" s="13">
        <f>IF(L274&gt;=0,"Green",IF(ABS(L274)&lt;='00_Readme'!$B$14,"Amber","Red"))</f>
        <v/>
      </c>
    </row>
    <row r="275">
      <c r="A275" s="27" t="inlineStr">
        <is>
          <t>Aug 2026</t>
        </is>
      </c>
      <c r="B275" s="27" t="inlineStr">
        <is>
          <t>Jawa Barat</t>
        </is>
      </c>
      <c r="C275" s="27" t="inlineStr">
        <is>
          <t>E-commerce</t>
        </is>
      </c>
      <c r="D275" s="27" t="inlineStr">
        <is>
          <t>Beverages</t>
        </is>
      </c>
      <c r="E275" s="28" t="n">
        <v>822</v>
      </c>
      <c r="F275" s="44" t="n">
        <v>252</v>
      </c>
      <c r="G275" s="38" t="n">
        <v>0.67</v>
      </c>
      <c r="H275" s="38" t="n">
        <v>0.78</v>
      </c>
      <c r="I275" s="38" t="n">
        <v>0.25</v>
      </c>
      <c r="J275" s="44" t="n">
        <v>10</v>
      </c>
      <c r="K275" s="44" t="n">
        <v>63</v>
      </c>
      <c r="L275" s="43">
        <f>IFERROR(F275/F239-1,0)</f>
        <v/>
      </c>
      <c r="M275" s="13">
        <f>IF(L275&gt;=0,"Green",IF(ABS(L275)&lt;='00_Readme'!$B$14,"Amber","Red"))</f>
        <v/>
      </c>
    </row>
    <row r="276">
      <c r="A276" s="27" t="inlineStr">
        <is>
          <t>Aug 2026</t>
        </is>
      </c>
      <c r="B276" s="27" t="inlineStr">
        <is>
          <t>Jawa Tengah</t>
        </is>
      </c>
      <c r="C276" s="27" t="inlineStr">
        <is>
          <t>General Trade</t>
        </is>
      </c>
      <c r="D276" s="27" t="inlineStr">
        <is>
          <t>Personal Care</t>
        </is>
      </c>
      <c r="E276" s="28" t="n">
        <v>648</v>
      </c>
      <c r="F276" s="44" t="n">
        <v>177</v>
      </c>
      <c r="G276" s="38" t="n">
        <v>0.65</v>
      </c>
      <c r="H276" s="38" t="n">
        <v>0.74</v>
      </c>
      <c r="I276" s="38" t="n">
        <v>0.09</v>
      </c>
      <c r="J276" s="44" t="n">
        <v>4</v>
      </c>
      <c r="K276" s="44" t="n">
        <v>39</v>
      </c>
      <c r="L276" s="43">
        <f>IFERROR(F276/F240-1,0)</f>
        <v/>
      </c>
      <c r="M276" s="13">
        <f>IF(L276&gt;=0,"Green",IF(ABS(L276)&lt;='00_Readme'!$B$14,"Amber","Red"))</f>
        <v/>
      </c>
    </row>
    <row r="277">
      <c r="A277" s="27" t="inlineStr">
        <is>
          <t>Aug 2026</t>
        </is>
      </c>
      <c r="B277" s="27" t="inlineStr">
        <is>
          <t>Jawa Tengah</t>
        </is>
      </c>
      <c r="C277" s="27" t="inlineStr">
        <is>
          <t>General Trade</t>
        </is>
      </c>
      <c r="D277" s="27" t="inlineStr">
        <is>
          <t>Home Care</t>
        </is>
      </c>
      <c r="E277" s="28" t="n">
        <v>686</v>
      </c>
      <c r="F277" s="44" t="n">
        <v>193</v>
      </c>
      <c r="G277" s="38" t="n">
        <v>0.65</v>
      </c>
      <c r="H277" s="38" t="n">
        <v>0.75</v>
      </c>
      <c r="I277" s="38" t="n">
        <v>0.09</v>
      </c>
      <c r="J277" s="44" t="n">
        <v>5</v>
      </c>
      <c r="K277" s="44" t="n">
        <v>45</v>
      </c>
      <c r="L277" s="43">
        <f>IFERROR(F277/F241-1,0)</f>
        <v/>
      </c>
      <c r="M277" s="13">
        <f>IF(L277&gt;=0,"Green",IF(ABS(L277)&lt;='00_Readme'!$B$14,"Amber","Red"))</f>
        <v/>
      </c>
    </row>
    <row r="278">
      <c r="A278" s="27" t="inlineStr">
        <is>
          <t>Aug 2026</t>
        </is>
      </c>
      <c r="B278" s="27" t="inlineStr">
        <is>
          <t>Jawa Tengah</t>
        </is>
      </c>
      <c r="C278" s="27" t="inlineStr">
        <is>
          <t>General Trade</t>
        </is>
      </c>
      <c r="D278" s="27" t="inlineStr">
        <is>
          <t>Beverages</t>
        </is>
      </c>
      <c r="E278" s="28" t="n">
        <v>724</v>
      </c>
      <c r="F278" s="44" t="n">
        <v>209</v>
      </c>
      <c r="G278" s="38" t="n">
        <v>0.65</v>
      </c>
      <c r="H278" s="38" t="n">
        <v>0.76</v>
      </c>
      <c r="I278" s="38" t="n">
        <v>0.09</v>
      </c>
      <c r="J278" s="44" t="n">
        <v>5</v>
      </c>
      <c r="K278" s="44" t="n">
        <v>52</v>
      </c>
      <c r="L278" s="43">
        <f>IFERROR(F278/F242-1,0)</f>
        <v/>
      </c>
      <c r="M278" s="13">
        <f>IF(L278&gt;=0,"Green",IF(ABS(L278)&lt;='00_Readme'!$B$14,"Amber","Red"))</f>
        <v/>
      </c>
    </row>
    <row r="279">
      <c r="A279" s="27" t="inlineStr">
        <is>
          <t>Aug 2026</t>
        </is>
      </c>
      <c r="B279" s="27" t="inlineStr">
        <is>
          <t>Jawa Tengah</t>
        </is>
      </c>
      <c r="C279" s="27" t="inlineStr">
        <is>
          <t>Modern Trade</t>
        </is>
      </c>
      <c r="D279" s="27" t="inlineStr">
        <is>
          <t>Personal Care</t>
        </is>
      </c>
      <c r="E279" s="28" t="n">
        <v>723</v>
      </c>
      <c r="F279" s="44" t="n">
        <v>205</v>
      </c>
      <c r="G279" s="38" t="n">
        <v>0.6900000000000001</v>
      </c>
      <c r="H279" s="38" t="n">
        <v>0.78</v>
      </c>
      <c r="I279" s="38" t="n">
        <v>0.17</v>
      </c>
      <c r="J279" s="44" t="n">
        <v>7</v>
      </c>
      <c r="K279" s="44" t="n">
        <v>45</v>
      </c>
      <c r="L279" s="43">
        <f>IFERROR(F279/F243-1,0)</f>
        <v/>
      </c>
      <c r="M279" s="13">
        <f>IF(L279&gt;=0,"Green",IF(ABS(L279)&lt;='00_Readme'!$B$14,"Amber","Red"))</f>
        <v/>
      </c>
    </row>
    <row r="280">
      <c r="A280" s="27" t="inlineStr">
        <is>
          <t>Aug 2026</t>
        </is>
      </c>
      <c r="B280" s="27" t="inlineStr">
        <is>
          <t>Jawa Tengah</t>
        </is>
      </c>
      <c r="C280" s="27" t="inlineStr">
        <is>
          <t>Modern Trade</t>
        </is>
      </c>
      <c r="D280" s="27" t="inlineStr">
        <is>
          <t>Home Care</t>
        </is>
      </c>
      <c r="E280" s="28" t="n">
        <v>761</v>
      </c>
      <c r="F280" s="44" t="n">
        <v>221</v>
      </c>
      <c r="G280" s="38" t="n">
        <v>0.6900000000000001</v>
      </c>
      <c r="H280" s="38" t="n">
        <v>0.79</v>
      </c>
      <c r="I280" s="38" t="n">
        <v>0.17</v>
      </c>
      <c r="J280" s="44" t="n">
        <v>7</v>
      </c>
      <c r="K280" s="44" t="n">
        <v>52</v>
      </c>
      <c r="L280" s="43">
        <f>IFERROR(F280/F244-1,0)</f>
        <v/>
      </c>
      <c r="M280" s="13">
        <f>IF(L280&gt;=0,"Green",IF(ABS(L280)&lt;='00_Readme'!$B$14,"Amber","Red"))</f>
        <v/>
      </c>
    </row>
    <row r="281">
      <c r="A281" s="27" t="inlineStr">
        <is>
          <t>Aug 2026</t>
        </is>
      </c>
      <c r="B281" s="27" t="inlineStr">
        <is>
          <t>Jawa Tengah</t>
        </is>
      </c>
      <c r="C281" s="27" t="inlineStr">
        <is>
          <t>Modern Trade</t>
        </is>
      </c>
      <c r="D281" s="27" t="inlineStr">
        <is>
          <t>Beverages</t>
        </is>
      </c>
      <c r="E281" s="28" t="n">
        <v>799</v>
      </c>
      <c r="F281" s="44" t="n">
        <v>237</v>
      </c>
      <c r="G281" s="38" t="n">
        <v>0.6900000000000001</v>
      </c>
      <c r="H281" s="38" t="n">
        <v>0.8</v>
      </c>
      <c r="I281" s="38" t="n">
        <v>0.17</v>
      </c>
      <c r="J281" s="44" t="n">
        <v>8</v>
      </c>
      <c r="K281" s="44" t="n">
        <v>59</v>
      </c>
      <c r="L281" s="43">
        <f>IFERROR(F281/F245-1,0)</f>
        <v/>
      </c>
      <c r="M281" s="13">
        <f>IF(L281&gt;=0,"Green",IF(ABS(L281)&lt;='00_Readme'!$B$14,"Amber","Red"))</f>
        <v/>
      </c>
    </row>
    <row r="282">
      <c r="A282" s="27" t="inlineStr">
        <is>
          <t>Aug 2026</t>
        </is>
      </c>
      <c r="B282" s="27" t="inlineStr">
        <is>
          <t>Jawa Tengah</t>
        </is>
      </c>
      <c r="C282" s="27" t="inlineStr">
        <is>
          <t>E-commerce</t>
        </is>
      </c>
      <c r="D282" s="27" t="inlineStr">
        <is>
          <t>Personal Care</t>
        </is>
      </c>
      <c r="E282" s="28" t="n">
        <v>798</v>
      </c>
      <c r="F282" s="44" t="n">
        <v>233</v>
      </c>
      <c r="G282" s="38" t="n">
        <v>0.73</v>
      </c>
      <c r="H282" s="38" t="n">
        <v>0.82</v>
      </c>
      <c r="I282" s="38" t="n">
        <v>0.25</v>
      </c>
      <c r="J282" s="44" t="n">
        <v>10</v>
      </c>
      <c r="K282" s="44" t="n">
        <v>51</v>
      </c>
      <c r="L282" s="43">
        <f>IFERROR(F282/F246-1,0)</f>
        <v/>
      </c>
      <c r="M282" s="13">
        <f>IF(L282&gt;=0,"Green",IF(ABS(L282)&lt;='00_Readme'!$B$14,"Amber","Red"))</f>
        <v/>
      </c>
    </row>
    <row r="283">
      <c r="A283" s="27" t="inlineStr">
        <is>
          <t>Aug 2026</t>
        </is>
      </c>
      <c r="B283" s="27" t="inlineStr">
        <is>
          <t>Jawa Tengah</t>
        </is>
      </c>
      <c r="C283" s="27" t="inlineStr">
        <is>
          <t>E-commerce</t>
        </is>
      </c>
      <c r="D283" s="27" t="inlineStr">
        <is>
          <t>Home Care</t>
        </is>
      </c>
      <c r="E283" s="28" t="n">
        <v>836</v>
      </c>
      <c r="F283" s="44" t="n">
        <v>249</v>
      </c>
      <c r="G283" s="38" t="n">
        <v>0.73</v>
      </c>
      <c r="H283" s="38" t="n">
        <v>0.83</v>
      </c>
      <c r="I283" s="38" t="n">
        <v>0.25</v>
      </c>
      <c r="J283" s="44" t="n">
        <v>10</v>
      </c>
      <c r="K283" s="44" t="n">
        <v>59</v>
      </c>
      <c r="L283" s="43">
        <f>IFERROR(F283/F247-1,0)</f>
        <v/>
      </c>
      <c r="M283" s="13">
        <f>IF(L283&gt;=0,"Green",IF(ABS(L283)&lt;='00_Readme'!$B$14,"Amber","Red"))</f>
        <v/>
      </c>
    </row>
    <row r="284">
      <c r="A284" s="27" t="inlineStr">
        <is>
          <t>Aug 2026</t>
        </is>
      </c>
      <c r="B284" s="27" t="inlineStr">
        <is>
          <t>Jawa Tengah</t>
        </is>
      </c>
      <c r="C284" s="27" t="inlineStr">
        <is>
          <t>E-commerce</t>
        </is>
      </c>
      <c r="D284" s="27" t="inlineStr">
        <is>
          <t>Beverages</t>
        </is>
      </c>
      <c r="E284" s="28" t="n">
        <v>874</v>
      </c>
      <c r="F284" s="44" t="n">
        <v>265</v>
      </c>
      <c r="G284" s="38" t="n">
        <v>0.73</v>
      </c>
      <c r="H284" s="38" t="n">
        <v>0.84</v>
      </c>
      <c r="I284" s="38" t="n">
        <v>0.25</v>
      </c>
      <c r="J284" s="44" t="n">
        <v>11</v>
      </c>
      <c r="K284" s="44" t="n">
        <v>66</v>
      </c>
      <c r="L284" s="43">
        <f>IFERROR(F284/F248-1,0)</f>
        <v/>
      </c>
      <c r="M284" s="13">
        <f>IF(L284&gt;=0,"Green",IF(ABS(L284)&lt;='00_Readme'!$B$14,"Amber","Red"))</f>
        <v/>
      </c>
    </row>
    <row r="285">
      <c r="A285" s="27" t="inlineStr">
        <is>
          <t>Aug 2026</t>
        </is>
      </c>
      <c r="B285" s="27" t="inlineStr">
        <is>
          <t>Jawa Timur</t>
        </is>
      </c>
      <c r="C285" s="27" t="inlineStr">
        <is>
          <t>General Trade</t>
        </is>
      </c>
      <c r="D285" s="27" t="inlineStr">
        <is>
          <t>Personal Care</t>
        </is>
      </c>
      <c r="E285" s="28" t="n">
        <v>700</v>
      </c>
      <c r="F285" s="44" t="n">
        <v>190</v>
      </c>
      <c r="G285" s="38" t="n">
        <v>0.71</v>
      </c>
      <c r="H285" s="38" t="n">
        <v>0.7999999999999999</v>
      </c>
      <c r="I285" s="38" t="n">
        <v>0.09</v>
      </c>
      <c r="J285" s="44" t="n">
        <v>5</v>
      </c>
      <c r="K285" s="44" t="n">
        <v>42</v>
      </c>
      <c r="L285" s="43">
        <f>IFERROR(F285/F249-1,0)</f>
        <v/>
      </c>
      <c r="M285" s="13">
        <f>IF(L285&gt;=0,"Green",IF(ABS(L285)&lt;='00_Readme'!$B$14,"Amber","Red"))</f>
        <v/>
      </c>
    </row>
    <row r="286">
      <c r="A286" s="27" t="inlineStr">
        <is>
          <t>Aug 2026</t>
        </is>
      </c>
      <c r="B286" s="27" t="inlineStr">
        <is>
          <t>Jawa Timur</t>
        </is>
      </c>
      <c r="C286" s="27" t="inlineStr">
        <is>
          <t>General Trade</t>
        </is>
      </c>
      <c r="D286" s="27" t="inlineStr">
        <is>
          <t>Home Care</t>
        </is>
      </c>
      <c r="E286" s="28" t="n">
        <v>738</v>
      </c>
      <c r="F286" s="44" t="n">
        <v>206</v>
      </c>
      <c r="G286" s="38" t="n">
        <v>0.71</v>
      </c>
      <c r="H286" s="38" t="n">
        <v>0.8099999999999999</v>
      </c>
      <c r="I286" s="38" t="n">
        <v>0.09</v>
      </c>
      <c r="J286" s="44" t="n">
        <v>5</v>
      </c>
      <c r="K286" s="44" t="n">
        <v>48</v>
      </c>
      <c r="L286" s="43">
        <f>IFERROR(F286/F250-1,0)</f>
        <v/>
      </c>
      <c r="M286" s="13">
        <f>IF(L286&gt;=0,"Green",IF(ABS(L286)&lt;='00_Readme'!$B$14,"Amber","Red"))</f>
        <v/>
      </c>
    </row>
    <row r="287">
      <c r="A287" s="27" t="inlineStr">
        <is>
          <t>Aug 2026</t>
        </is>
      </c>
      <c r="B287" s="27" t="inlineStr">
        <is>
          <t>Jawa Timur</t>
        </is>
      </c>
      <c r="C287" s="27" t="inlineStr">
        <is>
          <t>General Trade</t>
        </is>
      </c>
      <c r="D287" s="27" t="inlineStr">
        <is>
          <t>Beverages</t>
        </is>
      </c>
      <c r="E287" s="28" t="n">
        <v>776</v>
      </c>
      <c r="F287" s="44" t="n">
        <v>222</v>
      </c>
      <c r="G287" s="38" t="n">
        <v>0.71</v>
      </c>
      <c r="H287" s="38" t="n">
        <v>0.82</v>
      </c>
      <c r="I287" s="38" t="n">
        <v>0.09</v>
      </c>
      <c r="J287" s="44" t="n">
        <v>6</v>
      </c>
      <c r="K287" s="44" t="n">
        <v>56</v>
      </c>
      <c r="L287" s="43">
        <f>IFERROR(F287/F251-1,0)</f>
        <v/>
      </c>
      <c r="M287" s="13">
        <f>IF(L287&gt;=0,"Green",IF(ABS(L287)&lt;='00_Readme'!$B$14,"Amber","Red"))</f>
        <v/>
      </c>
    </row>
    <row r="288">
      <c r="A288" s="27" t="inlineStr">
        <is>
          <t>Aug 2026</t>
        </is>
      </c>
      <c r="B288" s="27" t="inlineStr">
        <is>
          <t>Jawa Timur</t>
        </is>
      </c>
      <c r="C288" s="27" t="inlineStr">
        <is>
          <t>Modern Trade</t>
        </is>
      </c>
      <c r="D288" s="27" t="inlineStr">
        <is>
          <t>Personal Care</t>
        </is>
      </c>
      <c r="E288" s="28" t="n">
        <v>775</v>
      </c>
      <c r="F288" s="44" t="n">
        <v>218</v>
      </c>
      <c r="G288" s="38" t="n">
        <v>0.75</v>
      </c>
      <c r="H288" s="38" t="n">
        <v>0.84</v>
      </c>
      <c r="I288" s="38" t="n">
        <v>0.17</v>
      </c>
      <c r="J288" s="44" t="n">
        <v>7</v>
      </c>
      <c r="K288" s="44" t="n">
        <v>48</v>
      </c>
      <c r="L288" s="43">
        <f>IFERROR(F288/F252-1,0)</f>
        <v/>
      </c>
      <c r="M288" s="13">
        <f>IF(L288&gt;=0,"Green",IF(ABS(L288)&lt;='00_Readme'!$B$14,"Amber","Red"))</f>
        <v/>
      </c>
    </row>
    <row r="289">
      <c r="A289" s="27" t="inlineStr">
        <is>
          <t>Aug 2026</t>
        </is>
      </c>
      <c r="B289" s="27" t="inlineStr">
        <is>
          <t>Jawa Timur</t>
        </is>
      </c>
      <c r="C289" s="27" t="inlineStr">
        <is>
          <t>Modern Trade</t>
        </is>
      </c>
      <c r="D289" s="27" t="inlineStr">
        <is>
          <t>Home Care</t>
        </is>
      </c>
      <c r="E289" s="28" t="n">
        <v>813</v>
      </c>
      <c r="F289" s="44" t="n">
        <v>234</v>
      </c>
      <c r="G289" s="38" t="n">
        <v>0.75</v>
      </c>
      <c r="H289" s="38" t="n">
        <v>0.85</v>
      </c>
      <c r="I289" s="38" t="n">
        <v>0.17</v>
      </c>
      <c r="J289" s="44" t="n">
        <v>8</v>
      </c>
      <c r="K289" s="44" t="n">
        <v>55</v>
      </c>
      <c r="L289" s="43">
        <f>IFERROR(F289/F253-1,0)</f>
        <v/>
      </c>
      <c r="M289" s="13">
        <f>IF(L289&gt;=0,"Green",IF(ABS(L289)&lt;='00_Readme'!$B$14,"Amber","Red"))</f>
        <v/>
      </c>
    </row>
    <row r="290">
      <c r="A290" s="27" t="inlineStr">
        <is>
          <t>Aug 2026</t>
        </is>
      </c>
      <c r="B290" s="27" t="inlineStr">
        <is>
          <t>Jawa Timur</t>
        </is>
      </c>
      <c r="C290" s="27" t="inlineStr">
        <is>
          <t>Modern Trade</t>
        </is>
      </c>
      <c r="D290" s="27" t="inlineStr">
        <is>
          <t>Beverages</t>
        </is>
      </c>
      <c r="E290" s="28" t="n">
        <v>851</v>
      </c>
      <c r="F290" s="44" t="n">
        <v>250</v>
      </c>
      <c r="G290" s="38" t="n">
        <v>0.75</v>
      </c>
      <c r="H290" s="38" t="n">
        <v>0.86</v>
      </c>
      <c r="I290" s="38" t="n">
        <v>0.17</v>
      </c>
      <c r="J290" s="44" t="n">
        <v>8</v>
      </c>
      <c r="K290" s="44" t="n">
        <v>62</v>
      </c>
      <c r="L290" s="43">
        <f>IFERROR(F290/F254-1,0)</f>
        <v/>
      </c>
      <c r="M290" s="13">
        <f>IF(L290&gt;=0,"Green",IF(ABS(L290)&lt;='00_Readme'!$B$14,"Amber","Red"))</f>
        <v/>
      </c>
    </row>
    <row r="291">
      <c r="A291" s="27" t="inlineStr">
        <is>
          <t>Aug 2026</t>
        </is>
      </c>
      <c r="B291" s="27" t="inlineStr">
        <is>
          <t>Jawa Timur</t>
        </is>
      </c>
      <c r="C291" s="27" t="inlineStr">
        <is>
          <t>E-commerce</t>
        </is>
      </c>
      <c r="D291" s="27" t="inlineStr">
        <is>
          <t>Personal Care</t>
        </is>
      </c>
      <c r="E291" s="28" t="n">
        <v>850</v>
      </c>
      <c r="F291" s="44" t="n">
        <v>246</v>
      </c>
      <c r="G291" s="38" t="n">
        <v>0.7899999999999999</v>
      </c>
      <c r="H291" s="38" t="n">
        <v>0.8799999999999999</v>
      </c>
      <c r="I291" s="38" t="n">
        <v>0.25</v>
      </c>
      <c r="J291" s="44" t="n">
        <v>10</v>
      </c>
      <c r="K291" s="44" t="n">
        <v>54</v>
      </c>
      <c r="L291" s="43">
        <f>IFERROR(F291/F255-1,0)</f>
        <v/>
      </c>
      <c r="M291" s="13">
        <f>IF(L291&gt;=0,"Green",IF(ABS(L291)&lt;='00_Readme'!$B$14,"Amber","Red"))</f>
        <v/>
      </c>
    </row>
    <row r="292">
      <c r="A292" s="27" t="inlineStr">
        <is>
          <t>Aug 2026</t>
        </is>
      </c>
      <c r="B292" s="27" t="inlineStr">
        <is>
          <t>Jawa Timur</t>
        </is>
      </c>
      <c r="C292" s="27" t="inlineStr">
        <is>
          <t>E-commerce</t>
        </is>
      </c>
      <c r="D292" s="27" t="inlineStr">
        <is>
          <t>Home Care</t>
        </is>
      </c>
      <c r="E292" s="28" t="n">
        <v>888</v>
      </c>
      <c r="F292" s="44" t="n">
        <v>262</v>
      </c>
      <c r="G292" s="38" t="n">
        <v>0.7899999999999999</v>
      </c>
      <c r="H292" s="38" t="n">
        <v>0.8899999999999999</v>
      </c>
      <c r="I292" s="38" t="n">
        <v>0.25</v>
      </c>
      <c r="J292" s="44" t="n">
        <v>11</v>
      </c>
      <c r="K292" s="44" t="n">
        <v>62</v>
      </c>
      <c r="L292" s="43">
        <f>IFERROR(F292/F256-1,0)</f>
        <v/>
      </c>
      <c r="M292" s="13">
        <f>IF(L292&gt;=0,"Green",IF(ABS(L292)&lt;='00_Readme'!$B$14,"Amber","Red"))</f>
        <v/>
      </c>
    </row>
    <row r="293">
      <c r="A293" s="27" t="inlineStr">
        <is>
          <t>Aug 2026</t>
        </is>
      </c>
      <c r="B293" s="27" t="inlineStr">
        <is>
          <t>Jawa Timur</t>
        </is>
      </c>
      <c r="C293" s="27" t="inlineStr">
        <is>
          <t>E-commerce</t>
        </is>
      </c>
      <c r="D293" s="27" t="inlineStr">
        <is>
          <t>Beverages</t>
        </is>
      </c>
      <c r="E293" s="28" t="n">
        <v>926</v>
      </c>
      <c r="F293" s="44" t="n">
        <v>278</v>
      </c>
      <c r="G293" s="38" t="n">
        <v>0.7899999999999999</v>
      </c>
      <c r="H293" s="38" t="n">
        <v>0.8999999999999999</v>
      </c>
      <c r="I293" s="38" t="n">
        <v>0.25</v>
      </c>
      <c r="J293" s="44" t="n">
        <v>11</v>
      </c>
      <c r="K293" s="44" t="n">
        <v>70</v>
      </c>
      <c r="L293" s="43">
        <f>IFERROR(F293/F257-1,0)</f>
        <v/>
      </c>
      <c r="M293" s="13">
        <f>IF(L293&gt;=0,"Green",IF(ABS(L293)&lt;='00_Readme'!$B$14,"Amber","Red"))</f>
        <v/>
      </c>
    </row>
    <row r="294">
      <c r="A294" s="27" t="inlineStr">
        <is>
          <t>Sep 2026</t>
        </is>
      </c>
      <c r="B294" s="27" t="inlineStr">
        <is>
          <t>Jabodetabek</t>
        </is>
      </c>
      <c r="C294" s="27" t="inlineStr">
        <is>
          <t>General Trade</t>
        </is>
      </c>
      <c r="D294" s="27" t="inlineStr">
        <is>
          <t>Personal Care</t>
        </is>
      </c>
      <c r="E294" s="28" t="n">
        <v>582</v>
      </c>
      <c r="F294" s="44" t="n">
        <v>135</v>
      </c>
      <c r="G294" s="38" t="n">
        <v>0.54</v>
      </c>
      <c r="H294" s="38" t="n">
        <v>0.63</v>
      </c>
      <c r="I294" s="38" t="n">
        <v>0.06</v>
      </c>
      <c r="J294" s="44" t="n">
        <v>3</v>
      </c>
      <c r="K294" s="44" t="n">
        <v>30</v>
      </c>
      <c r="L294" s="43">
        <f>IFERROR(F294/F258-1,0)</f>
        <v/>
      </c>
      <c r="M294" s="13">
        <f>IF(L294&gt;=0,"Green",IF(ABS(L294)&lt;='00_Readme'!$B$14,"Amber","Red"))</f>
        <v/>
      </c>
    </row>
    <row r="295">
      <c r="A295" s="27" t="inlineStr">
        <is>
          <t>Sep 2026</t>
        </is>
      </c>
      <c r="B295" s="27" t="inlineStr">
        <is>
          <t>Jabodetabek</t>
        </is>
      </c>
      <c r="C295" s="27" t="inlineStr">
        <is>
          <t>General Trade</t>
        </is>
      </c>
      <c r="D295" s="27" t="inlineStr">
        <is>
          <t>Home Care</t>
        </is>
      </c>
      <c r="E295" s="28" t="n">
        <v>620</v>
      </c>
      <c r="F295" s="44" t="n">
        <v>151</v>
      </c>
      <c r="G295" s="38" t="n">
        <v>0.54</v>
      </c>
      <c r="H295" s="38" t="n">
        <v>0.64</v>
      </c>
      <c r="I295" s="38" t="n">
        <v>0.06</v>
      </c>
      <c r="J295" s="44" t="n">
        <v>4</v>
      </c>
      <c r="K295" s="44" t="n">
        <v>35</v>
      </c>
      <c r="L295" s="43">
        <f>IFERROR(F295/F259-1,0)</f>
        <v/>
      </c>
      <c r="M295" s="13">
        <f>IF(L295&gt;=0,"Green",IF(ABS(L295)&lt;='00_Readme'!$B$14,"Amber","Red"))</f>
        <v/>
      </c>
    </row>
    <row r="296">
      <c r="A296" s="27" t="inlineStr">
        <is>
          <t>Sep 2026</t>
        </is>
      </c>
      <c r="B296" s="27" t="inlineStr">
        <is>
          <t>Jabodetabek</t>
        </is>
      </c>
      <c r="C296" s="27" t="inlineStr">
        <is>
          <t>General Trade</t>
        </is>
      </c>
      <c r="D296" s="27" t="inlineStr">
        <is>
          <t>Beverages</t>
        </is>
      </c>
      <c r="E296" s="28" t="n">
        <v>658</v>
      </c>
      <c r="F296" s="44" t="n">
        <v>167</v>
      </c>
      <c r="G296" s="38" t="n">
        <v>0.54</v>
      </c>
      <c r="H296" s="38" t="n">
        <v>0.65</v>
      </c>
      <c r="I296" s="38" t="n">
        <v>0.06</v>
      </c>
      <c r="J296" s="44" t="n">
        <v>4</v>
      </c>
      <c r="K296" s="44" t="n">
        <v>42</v>
      </c>
      <c r="L296" s="43">
        <f>IFERROR(F296/F260-1,0)</f>
        <v/>
      </c>
      <c r="M296" s="13">
        <f>IF(L296&gt;=0,"Green",IF(ABS(L296)&lt;='00_Readme'!$B$14,"Amber","Red"))</f>
        <v/>
      </c>
    </row>
    <row r="297">
      <c r="A297" s="27" t="inlineStr">
        <is>
          <t>Sep 2026</t>
        </is>
      </c>
      <c r="B297" s="27" t="inlineStr">
        <is>
          <t>Jabodetabek</t>
        </is>
      </c>
      <c r="C297" s="27" t="inlineStr">
        <is>
          <t>Modern Trade</t>
        </is>
      </c>
      <c r="D297" s="27" t="inlineStr">
        <is>
          <t>Personal Care</t>
        </is>
      </c>
      <c r="E297" s="28" t="n">
        <v>657</v>
      </c>
      <c r="F297" s="44" t="n">
        <v>163</v>
      </c>
      <c r="G297" s="38" t="n">
        <v>0.5800000000000001</v>
      </c>
      <c r="H297" s="38" t="n">
        <v>0.67</v>
      </c>
      <c r="I297" s="38" t="n">
        <v>0.14</v>
      </c>
      <c r="J297" s="44" t="n">
        <v>5</v>
      </c>
      <c r="K297" s="44" t="n">
        <v>36</v>
      </c>
      <c r="L297" s="43">
        <f>IFERROR(F297/F261-1,0)</f>
        <v/>
      </c>
      <c r="M297" s="13">
        <f>IF(L297&gt;=0,"Green",IF(ABS(L297)&lt;='00_Readme'!$B$14,"Amber","Red"))</f>
        <v/>
      </c>
    </row>
    <row r="298">
      <c r="A298" s="27" t="inlineStr">
        <is>
          <t>Sep 2026</t>
        </is>
      </c>
      <c r="B298" s="27" t="inlineStr">
        <is>
          <t>Jabodetabek</t>
        </is>
      </c>
      <c r="C298" s="27" t="inlineStr">
        <is>
          <t>Modern Trade</t>
        </is>
      </c>
      <c r="D298" s="27" t="inlineStr">
        <is>
          <t>Home Care</t>
        </is>
      </c>
      <c r="E298" s="28" t="n">
        <v>695</v>
      </c>
      <c r="F298" s="44" t="n">
        <v>179</v>
      </c>
      <c r="G298" s="38" t="n">
        <v>0.5800000000000001</v>
      </c>
      <c r="H298" s="38" t="n">
        <v>0.68</v>
      </c>
      <c r="I298" s="38" t="n">
        <v>0.14</v>
      </c>
      <c r="J298" s="44" t="n">
        <v>6</v>
      </c>
      <c r="K298" s="44" t="n">
        <v>42</v>
      </c>
      <c r="L298" s="43">
        <f>IFERROR(F298/F262-1,0)</f>
        <v/>
      </c>
      <c r="M298" s="13">
        <f>IF(L298&gt;=0,"Green",IF(ABS(L298)&lt;='00_Readme'!$B$14,"Amber","Red"))</f>
        <v/>
      </c>
    </row>
    <row r="299">
      <c r="A299" s="27" t="inlineStr">
        <is>
          <t>Sep 2026</t>
        </is>
      </c>
      <c r="B299" s="27" t="inlineStr">
        <is>
          <t>Jabodetabek</t>
        </is>
      </c>
      <c r="C299" s="27" t="inlineStr">
        <is>
          <t>Modern Trade</t>
        </is>
      </c>
      <c r="D299" s="27" t="inlineStr">
        <is>
          <t>Beverages</t>
        </is>
      </c>
      <c r="E299" s="28" t="n">
        <v>733</v>
      </c>
      <c r="F299" s="44" t="n">
        <v>195</v>
      </c>
      <c r="G299" s="38" t="n">
        <v>0.5800000000000001</v>
      </c>
      <c r="H299" s="38" t="n">
        <v>0.6900000000000001</v>
      </c>
      <c r="I299" s="38" t="n">
        <v>0.14</v>
      </c>
      <c r="J299" s="44" t="n">
        <v>6</v>
      </c>
      <c r="K299" s="44" t="n">
        <v>49</v>
      </c>
      <c r="L299" s="43">
        <f>IFERROR(F299/F263-1,0)</f>
        <v/>
      </c>
      <c r="M299" s="13">
        <f>IF(L299&gt;=0,"Green",IF(ABS(L299)&lt;='00_Readme'!$B$14,"Amber","Red"))</f>
        <v/>
      </c>
    </row>
    <row r="300">
      <c r="A300" s="27" t="inlineStr">
        <is>
          <t>Sep 2026</t>
        </is>
      </c>
      <c r="B300" s="27" t="inlineStr">
        <is>
          <t>Jabodetabek</t>
        </is>
      </c>
      <c r="C300" s="27" t="inlineStr">
        <is>
          <t>E-commerce</t>
        </is>
      </c>
      <c r="D300" s="27" t="inlineStr">
        <is>
          <t>Personal Care</t>
        </is>
      </c>
      <c r="E300" s="28" t="n">
        <v>732</v>
      </c>
      <c r="F300" s="44" t="n">
        <v>191</v>
      </c>
      <c r="G300" s="38" t="n">
        <v>0.62</v>
      </c>
      <c r="H300" s="38" t="n">
        <v>0.71</v>
      </c>
      <c r="I300" s="38" t="n">
        <v>0.22</v>
      </c>
      <c r="J300" s="44" t="n">
        <v>8</v>
      </c>
      <c r="K300" s="44" t="n">
        <v>42</v>
      </c>
      <c r="L300" s="43">
        <f>IFERROR(F300/F264-1,0)</f>
        <v/>
      </c>
      <c r="M300" s="13">
        <f>IF(L300&gt;=0,"Green",IF(ABS(L300)&lt;='00_Readme'!$B$14,"Amber","Red"))</f>
        <v/>
      </c>
    </row>
    <row r="301">
      <c r="A301" s="27" t="inlineStr">
        <is>
          <t>Sep 2026</t>
        </is>
      </c>
      <c r="B301" s="27" t="inlineStr">
        <is>
          <t>Jabodetabek</t>
        </is>
      </c>
      <c r="C301" s="27" t="inlineStr">
        <is>
          <t>E-commerce</t>
        </is>
      </c>
      <c r="D301" s="27" t="inlineStr">
        <is>
          <t>Home Care</t>
        </is>
      </c>
      <c r="E301" s="28" t="n">
        <v>770</v>
      </c>
      <c r="F301" s="44" t="n">
        <v>207</v>
      </c>
      <c r="G301" s="38" t="n">
        <v>0.62</v>
      </c>
      <c r="H301" s="38" t="n">
        <v>0.72</v>
      </c>
      <c r="I301" s="38" t="n">
        <v>0.22</v>
      </c>
      <c r="J301" s="44" t="n">
        <v>8</v>
      </c>
      <c r="K301" s="44" t="n">
        <v>49</v>
      </c>
      <c r="L301" s="43">
        <f>IFERROR(F301/F265-1,0)</f>
        <v/>
      </c>
      <c r="M301" s="13">
        <f>IF(L301&gt;=0,"Green",IF(ABS(L301)&lt;='00_Readme'!$B$14,"Amber","Red"))</f>
        <v/>
      </c>
    </row>
    <row r="302">
      <c r="A302" s="27" t="inlineStr">
        <is>
          <t>Sep 2026</t>
        </is>
      </c>
      <c r="B302" s="27" t="inlineStr">
        <is>
          <t>Jabodetabek</t>
        </is>
      </c>
      <c r="C302" s="27" t="inlineStr">
        <is>
          <t>E-commerce</t>
        </is>
      </c>
      <c r="D302" s="27" t="inlineStr">
        <is>
          <t>Beverages</t>
        </is>
      </c>
      <c r="E302" s="28" t="n">
        <v>808</v>
      </c>
      <c r="F302" s="44" t="n">
        <v>223</v>
      </c>
      <c r="G302" s="38" t="n">
        <v>0.62</v>
      </c>
      <c r="H302" s="38" t="n">
        <v>0.73</v>
      </c>
      <c r="I302" s="38" t="n">
        <v>0.22</v>
      </c>
      <c r="J302" s="44" t="n">
        <v>9</v>
      </c>
      <c r="K302" s="44" t="n">
        <v>56</v>
      </c>
      <c r="L302" s="43">
        <f>IFERROR(F302/F266-1,0)</f>
        <v/>
      </c>
      <c r="M302" s="13">
        <f>IF(L302&gt;=0,"Green",IF(ABS(L302)&lt;='00_Readme'!$B$14,"Amber","Red"))</f>
        <v/>
      </c>
    </row>
    <row r="303">
      <c r="A303" s="27" t="inlineStr">
        <is>
          <t>Sep 2026</t>
        </is>
      </c>
      <c r="B303" s="27" t="inlineStr">
        <is>
          <t>Jawa Barat</t>
        </is>
      </c>
      <c r="C303" s="27" t="inlineStr">
        <is>
          <t>General Trade</t>
        </is>
      </c>
      <c r="D303" s="27" t="inlineStr">
        <is>
          <t>Personal Care</t>
        </is>
      </c>
      <c r="E303" s="28" t="n">
        <v>634</v>
      </c>
      <c r="F303" s="44" t="n">
        <v>148</v>
      </c>
      <c r="G303" s="38" t="n">
        <v>0.6000000000000001</v>
      </c>
      <c r="H303" s="38" t="n">
        <v>0.6900000000000001</v>
      </c>
      <c r="I303" s="38" t="n">
        <v>0.06</v>
      </c>
      <c r="J303" s="44" t="n">
        <v>4</v>
      </c>
      <c r="K303" s="44" t="n">
        <v>33</v>
      </c>
      <c r="L303" s="43">
        <f>IFERROR(F303/F267-1,0)</f>
        <v/>
      </c>
      <c r="M303" s="13">
        <f>IF(L303&gt;=0,"Green",IF(ABS(L303)&lt;='00_Readme'!$B$14,"Amber","Red"))</f>
        <v/>
      </c>
    </row>
    <row r="304">
      <c r="A304" s="27" t="inlineStr">
        <is>
          <t>Sep 2026</t>
        </is>
      </c>
      <c r="B304" s="27" t="inlineStr">
        <is>
          <t>Jawa Barat</t>
        </is>
      </c>
      <c r="C304" s="27" t="inlineStr">
        <is>
          <t>General Trade</t>
        </is>
      </c>
      <c r="D304" s="27" t="inlineStr">
        <is>
          <t>Home Care</t>
        </is>
      </c>
      <c r="E304" s="28" t="n">
        <v>672</v>
      </c>
      <c r="F304" s="44" t="n">
        <v>164</v>
      </c>
      <c r="G304" s="38" t="n">
        <v>0.6000000000000001</v>
      </c>
      <c r="H304" s="38" t="n">
        <v>0.7000000000000001</v>
      </c>
      <c r="I304" s="38" t="n">
        <v>0.06</v>
      </c>
      <c r="J304" s="44" t="n">
        <v>4</v>
      </c>
      <c r="K304" s="44" t="n">
        <v>39</v>
      </c>
      <c r="L304" s="43">
        <f>IFERROR(F304/F268-1,0)</f>
        <v/>
      </c>
      <c r="M304" s="13">
        <f>IF(L304&gt;=0,"Green",IF(ABS(L304)&lt;='00_Readme'!$B$14,"Amber","Red"))</f>
        <v/>
      </c>
    </row>
    <row r="305">
      <c r="A305" s="27" t="inlineStr">
        <is>
          <t>Sep 2026</t>
        </is>
      </c>
      <c r="B305" s="27" t="inlineStr">
        <is>
          <t>Jawa Barat</t>
        </is>
      </c>
      <c r="C305" s="27" t="inlineStr">
        <is>
          <t>General Trade</t>
        </is>
      </c>
      <c r="D305" s="27" t="inlineStr">
        <is>
          <t>Beverages</t>
        </is>
      </c>
      <c r="E305" s="28" t="n">
        <v>710</v>
      </c>
      <c r="F305" s="44" t="n">
        <v>180</v>
      </c>
      <c r="G305" s="38" t="n">
        <v>0.6000000000000001</v>
      </c>
      <c r="H305" s="38" t="n">
        <v>0.7100000000000001</v>
      </c>
      <c r="I305" s="38" t="n">
        <v>0.06</v>
      </c>
      <c r="J305" s="44" t="n">
        <v>4</v>
      </c>
      <c r="K305" s="44" t="n">
        <v>45</v>
      </c>
      <c r="L305" s="43">
        <f>IFERROR(F305/F269-1,0)</f>
        <v/>
      </c>
      <c r="M305" s="13">
        <f>IF(L305&gt;=0,"Green",IF(ABS(L305)&lt;='00_Readme'!$B$14,"Amber","Red"))</f>
        <v/>
      </c>
    </row>
    <row r="306">
      <c r="A306" s="27" t="inlineStr">
        <is>
          <t>Sep 2026</t>
        </is>
      </c>
      <c r="B306" s="27" t="inlineStr">
        <is>
          <t>Jawa Barat</t>
        </is>
      </c>
      <c r="C306" s="27" t="inlineStr">
        <is>
          <t>Modern Trade</t>
        </is>
      </c>
      <c r="D306" s="27" t="inlineStr">
        <is>
          <t>Personal Care</t>
        </is>
      </c>
      <c r="E306" s="28" t="n">
        <v>709</v>
      </c>
      <c r="F306" s="44" t="n">
        <v>176</v>
      </c>
      <c r="G306" s="38" t="n">
        <v>0.6400000000000001</v>
      </c>
      <c r="H306" s="38" t="n">
        <v>0.7300000000000001</v>
      </c>
      <c r="I306" s="38" t="n">
        <v>0.14</v>
      </c>
      <c r="J306" s="44" t="n">
        <v>6</v>
      </c>
      <c r="K306" s="44" t="n">
        <v>39</v>
      </c>
      <c r="L306" s="43">
        <f>IFERROR(F306/F270-1,0)</f>
        <v/>
      </c>
      <c r="M306" s="13">
        <f>IF(L306&gt;=0,"Green",IF(ABS(L306)&lt;='00_Readme'!$B$14,"Amber","Red"))</f>
        <v/>
      </c>
    </row>
    <row r="307">
      <c r="A307" s="27" t="inlineStr">
        <is>
          <t>Sep 2026</t>
        </is>
      </c>
      <c r="B307" s="27" t="inlineStr">
        <is>
          <t>Jawa Barat</t>
        </is>
      </c>
      <c r="C307" s="27" t="inlineStr">
        <is>
          <t>Modern Trade</t>
        </is>
      </c>
      <c r="D307" s="27" t="inlineStr">
        <is>
          <t>Home Care</t>
        </is>
      </c>
      <c r="E307" s="28" t="n">
        <v>747</v>
      </c>
      <c r="F307" s="44" t="n">
        <v>192</v>
      </c>
      <c r="G307" s="38" t="n">
        <v>0.6400000000000001</v>
      </c>
      <c r="H307" s="38" t="n">
        <v>0.7400000000000001</v>
      </c>
      <c r="I307" s="38" t="n">
        <v>0.14</v>
      </c>
      <c r="J307" s="44" t="n">
        <v>6</v>
      </c>
      <c r="K307" s="44" t="n">
        <v>45</v>
      </c>
      <c r="L307" s="43">
        <f>IFERROR(F307/F271-1,0)</f>
        <v/>
      </c>
      <c r="M307" s="13">
        <f>IF(L307&gt;=0,"Green",IF(ABS(L307)&lt;='00_Readme'!$B$14,"Amber","Red"))</f>
        <v/>
      </c>
    </row>
    <row r="308">
      <c r="A308" s="27" t="inlineStr">
        <is>
          <t>Sep 2026</t>
        </is>
      </c>
      <c r="B308" s="27" t="inlineStr">
        <is>
          <t>Jawa Barat</t>
        </is>
      </c>
      <c r="C308" s="27" t="inlineStr">
        <is>
          <t>Modern Trade</t>
        </is>
      </c>
      <c r="D308" s="27" t="inlineStr">
        <is>
          <t>Beverages</t>
        </is>
      </c>
      <c r="E308" s="28" t="n">
        <v>785</v>
      </c>
      <c r="F308" s="44" t="n">
        <v>208</v>
      </c>
      <c r="G308" s="38" t="n">
        <v>0.6400000000000001</v>
      </c>
      <c r="H308" s="38" t="n">
        <v>0.7500000000000001</v>
      </c>
      <c r="I308" s="38" t="n">
        <v>0.14</v>
      </c>
      <c r="J308" s="44" t="n">
        <v>7</v>
      </c>
      <c r="K308" s="44" t="n">
        <v>52</v>
      </c>
      <c r="L308" s="43">
        <f>IFERROR(F308/F272-1,0)</f>
        <v/>
      </c>
      <c r="M308" s="13">
        <f>IF(L308&gt;=0,"Green",IF(ABS(L308)&lt;='00_Readme'!$B$14,"Amber","Red"))</f>
        <v/>
      </c>
    </row>
    <row r="309">
      <c r="A309" s="27" t="inlineStr">
        <is>
          <t>Sep 2026</t>
        </is>
      </c>
      <c r="B309" s="27" t="inlineStr">
        <is>
          <t>Jawa Barat</t>
        </is>
      </c>
      <c r="C309" s="27" t="inlineStr">
        <is>
          <t>E-commerce</t>
        </is>
      </c>
      <c r="D309" s="27" t="inlineStr">
        <is>
          <t>Personal Care</t>
        </is>
      </c>
      <c r="E309" s="28" t="n">
        <v>784</v>
      </c>
      <c r="F309" s="44" t="n">
        <v>204</v>
      </c>
      <c r="G309" s="38" t="n">
        <v>0.68</v>
      </c>
      <c r="H309" s="38" t="n">
        <v>0.77</v>
      </c>
      <c r="I309" s="38" t="n">
        <v>0.22</v>
      </c>
      <c r="J309" s="44" t="n">
        <v>8</v>
      </c>
      <c r="K309" s="44" t="n">
        <v>45</v>
      </c>
      <c r="L309" s="43">
        <f>IFERROR(F309/F273-1,0)</f>
        <v/>
      </c>
      <c r="M309" s="13">
        <f>IF(L309&gt;=0,"Green",IF(ABS(L309)&lt;='00_Readme'!$B$14,"Amber","Red"))</f>
        <v/>
      </c>
    </row>
    <row r="310">
      <c r="A310" s="27" t="inlineStr">
        <is>
          <t>Sep 2026</t>
        </is>
      </c>
      <c r="B310" s="27" t="inlineStr">
        <is>
          <t>Jawa Barat</t>
        </is>
      </c>
      <c r="C310" s="27" t="inlineStr">
        <is>
          <t>E-commerce</t>
        </is>
      </c>
      <c r="D310" s="27" t="inlineStr">
        <is>
          <t>Home Care</t>
        </is>
      </c>
      <c r="E310" s="28" t="n">
        <v>822</v>
      </c>
      <c r="F310" s="44" t="n">
        <v>220</v>
      </c>
      <c r="G310" s="38" t="n">
        <v>0.68</v>
      </c>
      <c r="H310" s="38" t="n">
        <v>0.78</v>
      </c>
      <c r="I310" s="38" t="n">
        <v>0.22</v>
      </c>
      <c r="J310" s="44" t="n">
        <v>9</v>
      </c>
      <c r="K310" s="44" t="n">
        <v>52</v>
      </c>
      <c r="L310" s="43">
        <f>IFERROR(F310/F274-1,0)</f>
        <v/>
      </c>
      <c r="M310" s="13">
        <f>IF(L310&gt;=0,"Green",IF(ABS(L310)&lt;='00_Readme'!$B$14,"Amber","Red"))</f>
        <v/>
      </c>
    </row>
    <row r="311">
      <c r="A311" s="27" t="inlineStr">
        <is>
          <t>Sep 2026</t>
        </is>
      </c>
      <c r="B311" s="27" t="inlineStr">
        <is>
          <t>Jawa Barat</t>
        </is>
      </c>
      <c r="C311" s="27" t="inlineStr">
        <is>
          <t>E-commerce</t>
        </is>
      </c>
      <c r="D311" s="27" t="inlineStr">
        <is>
          <t>Beverages</t>
        </is>
      </c>
      <c r="E311" s="28" t="n">
        <v>860</v>
      </c>
      <c r="F311" s="44" t="n">
        <v>236</v>
      </c>
      <c r="G311" s="38" t="n">
        <v>0.68</v>
      </c>
      <c r="H311" s="38" t="n">
        <v>0.79</v>
      </c>
      <c r="I311" s="38" t="n">
        <v>0.22</v>
      </c>
      <c r="J311" s="44" t="n">
        <v>10</v>
      </c>
      <c r="K311" s="44" t="n">
        <v>59</v>
      </c>
      <c r="L311" s="43">
        <f>IFERROR(F311/F275-1,0)</f>
        <v/>
      </c>
      <c r="M311" s="13">
        <f>IF(L311&gt;=0,"Green",IF(ABS(L311)&lt;='00_Readme'!$B$14,"Amber","Red"))</f>
        <v/>
      </c>
    </row>
    <row r="312">
      <c r="A312" s="27" t="inlineStr">
        <is>
          <t>Sep 2026</t>
        </is>
      </c>
      <c r="B312" s="27" t="inlineStr">
        <is>
          <t>Jawa Tengah</t>
        </is>
      </c>
      <c r="C312" s="27" t="inlineStr">
        <is>
          <t>General Trade</t>
        </is>
      </c>
      <c r="D312" s="27" t="inlineStr">
        <is>
          <t>Personal Care</t>
        </is>
      </c>
      <c r="E312" s="28" t="n">
        <v>686</v>
      </c>
      <c r="F312" s="44" t="n">
        <v>161</v>
      </c>
      <c r="G312" s="38" t="n">
        <v>0.66</v>
      </c>
      <c r="H312" s="38" t="n">
        <v>0.75</v>
      </c>
      <c r="I312" s="38" t="n">
        <v>0.06</v>
      </c>
      <c r="J312" s="44" t="n">
        <v>4</v>
      </c>
      <c r="K312" s="44" t="n">
        <v>35</v>
      </c>
      <c r="L312" s="43">
        <f>IFERROR(F312/F276-1,0)</f>
        <v/>
      </c>
      <c r="M312" s="13">
        <f>IF(L312&gt;=0,"Green",IF(ABS(L312)&lt;='00_Readme'!$B$14,"Amber","Red"))</f>
        <v/>
      </c>
    </row>
    <row r="313">
      <c r="A313" s="27" t="inlineStr">
        <is>
          <t>Sep 2026</t>
        </is>
      </c>
      <c r="B313" s="27" t="inlineStr">
        <is>
          <t>Jawa Tengah</t>
        </is>
      </c>
      <c r="C313" s="27" t="inlineStr">
        <is>
          <t>General Trade</t>
        </is>
      </c>
      <c r="D313" s="27" t="inlineStr">
        <is>
          <t>Home Care</t>
        </is>
      </c>
      <c r="E313" s="28" t="n">
        <v>724</v>
      </c>
      <c r="F313" s="44" t="n">
        <v>177</v>
      </c>
      <c r="G313" s="38" t="n">
        <v>0.66</v>
      </c>
      <c r="H313" s="38" t="n">
        <v>0.76</v>
      </c>
      <c r="I313" s="38" t="n">
        <v>0.06</v>
      </c>
      <c r="J313" s="44" t="n">
        <v>4</v>
      </c>
      <c r="K313" s="44" t="n">
        <v>42</v>
      </c>
      <c r="L313" s="43">
        <f>IFERROR(F313/F277-1,0)</f>
        <v/>
      </c>
      <c r="M313" s="13">
        <f>IF(L313&gt;=0,"Green",IF(ABS(L313)&lt;='00_Readme'!$B$14,"Amber","Red"))</f>
        <v/>
      </c>
    </row>
    <row r="314">
      <c r="A314" s="27" t="inlineStr">
        <is>
          <t>Sep 2026</t>
        </is>
      </c>
      <c r="B314" s="27" t="inlineStr">
        <is>
          <t>Jawa Tengah</t>
        </is>
      </c>
      <c r="C314" s="27" t="inlineStr">
        <is>
          <t>General Trade</t>
        </is>
      </c>
      <c r="D314" s="27" t="inlineStr">
        <is>
          <t>Beverages</t>
        </is>
      </c>
      <c r="E314" s="28" t="n">
        <v>762</v>
      </c>
      <c r="F314" s="44" t="n">
        <v>193</v>
      </c>
      <c r="G314" s="38" t="n">
        <v>0.66</v>
      </c>
      <c r="H314" s="38" t="n">
        <v>0.77</v>
      </c>
      <c r="I314" s="38" t="n">
        <v>0.06</v>
      </c>
      <c r="J314" s="44" t="n">
        <v>5</v>
      </c>
      <c r="K314" s="44" t="n">
        <v>48</v>
      </c>
      <c r="L314" s="43">
        <f>IFERROR(F314/F278-1,0)</f>
        <v/>
      </c>
      <c r="M314" s="13">
        <f>IF(L314&gt;=0,"Green",IF(ABS(L314)&lt;='00_Readme'!$B$14,"Amber","Red"))</f>
        <v/>
      </c>
    </row>
    <row r="315">
      <c r="A315" s="27" t="inlineStr">
        <is>
          <t>Sep 2026</t>
        </is>
      </c>
      <c r="B315" s="27" t="inlineStr">
        <is>
          <t>Jawa Tengah</t>
        </is>
      </c>
      <c r="C315" s="27" t="inlineStr">
        <is>
          <t>Modern Trade</t>
        </is>
      </c>
      <c r="D315" s="27" t="inlineStr">
        <is>
          <t>Personal Care</t>
        </is>
      </c>
      <c r="E315" s="28" t="n">
        <v>761</v>
      </c>
      <c r="F315" s="44" t="n">
        <v>189</v>
      </c>
      <c r="G315" s="38" t="n">
        <v>0.7000000000000001</v>
      </c>
      <c r="H315" s="38" t="n">
        <v>0.79</v>
      </c>
      <c r="I315" s="38" t="n">
        <v>0.14</v>
      </c>
      <c r="J315" s="44" t="n">
        <v>6</v>
      </c>
      <c r="K315" s="44" t="n">
        <v>42</v>
      </c>
      <c r="L315" s="43">
        <f>IFERROR(F315/F279-1,0)</f>
        <v/>
      </c>
      <c r="M315" s="13">
        <f>IF(L315&gt;=0,"Green",IF(ABS(L315)&lt;='00_Readme'!$B$14,"Amber","Red"))</f>
        <v/>
      </c>
    </row>
    <row r="316">
      <c r="A316" s="27" t="inlineStr">
        <is>
          <t>Sep 2026</t>
        </is>
      </c>
      <c r="B316" s="27" t="inlineStr">
        <is>
          <t>Jawa Tengah</t>
        </is>
      </c>
      <c r="C316" s="27" t="inlineStr">
        <is>
          <t>Modern Trade</t>
        </is>
      </c>
      <c r="D316" s="27" t="inlineStr">
        <is>
          <t>Home Care</t>
        </is>
      </c>
      <c r="E316" s="28" t="n">
        <v>799</v>
      </c>
      <c r="F316" s="44" t="n">
        <v>205</v>
      </c>
      <c r="G316" s="38" t="n">
        <v>0.7000000000000001</v>
      </c>
      <c r="H316" s="38" t="n">
        <v>0.8</v>
      </c>
      <c r="I316" s="38" t="n">
        <v>0.14</v>
      </c>
      <c r="J316" s="44" t="n">
        <v>7</v>
      </c>
      <c r="K316" s="44" t="n">
        <v>48</v>
      </c>
      <c r="L316" s="43">
        <f>IFERROR(F316/F280-1,0)</f>
        <v/>
      </c>
      <c r="M316" s="13">
        <f>IF(L316&gt;=0,"Green",IF(ABS(L316)&lt;='00_Readme'!$B$14,"Amber","Red"))</f>
        <v/>
      </c>
    </row>
    <row r="317">
      <c r="A317" s="27" t="inlineStr">
        <is>
          <t>Sep 2026</t>
        </is>
      </c>
      <c r="B317" s="27" t="inlineStr">
        <is>
          <t>Jawa Tengah</t>
        </is>
      </c>
      <c r="C317" s="27" t="inlineStr">
        <is>
          <t>Modern Trade</t>
        </is>
      </c>
      <c r="D317" s="27" t="inlineStr">
        <is>
          <t>Beverages</t>
        </is>
      </c>
      <c r="E317" s="28" t="n">
        <v>837</v>
      </c>
      <c r="F317" s="44" t="n">
        <v>221</v>
      </c>
      <c r="G317" s="38" t="n">
        <v>0.7000000000000001</v>
      </c>
      <c r="H317" s="38" t="n">
        <v>0.8100000000000001</v>
      </c>
      <c r="I317" s="38" t="n">
        <v>0.14</v>
      </c>
      <c r="J317" s="44" t="n">
        <v>7</v>
      </c>
      <c r="K317" s="44" t="n">
        <v>55</v>
      </c>
      <c r="L317" s="43">
        <f>IFERROR(F317/F281-1,0)</f>
        <v/>
      </c>
      <c r="M317" s="13">
        <f>IF(L317&gt;=0,"Green",IF(ABS(L317)&lt;='00_Readme'!$B$14,"Amber","Red"))</f>
        <v/>
      </c>
    </row>
    <row r="318">
      <c r="A318" s="27" t="inlineStr">
        <is>
          <t>Sep 2026</t>
        </is>
      </c>
      <c r="B318" s="27" t="inlineStr">
        <is>
          <t>Jawa Tengah</t>
        </is>
      </c>
      <c r="C318" s="27" t="inlineStr">
        <is>
          <t>E-commerce</t>
        </is>
      </c>
      <c r="D318" s="27" t="inlineStr">
        <is>
          <t>Personal Care</t>
        </is>
      </c>
      <c r="E318" s="28" t="n">
        <v>836</v>
      </c>
      <c r="F318" s="44" t="n">
        <v>217</v>
      </c>
      <c r="G318" s="38" t="n">
        <v>0.74</v>
      </c>
      <c r="H318" s="38" t="n">
        <v>0.83</v>
      </c>
      <c r="I318" s="38" t="n">
        <v>0.22</v>
      </c>
      <c r="J318" s="44" t="n">
        <v>9</v>
      </c>
      <c r="K318" s="44" t="n">
        <v>48</v>
      </c>
      <c r="L318" s="43">
        <f>IFERROR(F318/F282-1,0)</f>
        <v/>
      </c>
      <c r="M318" s="13">
        <f>IF(L318&gt;=0,"Green",IF(ABS(L318)&lt;='00_Readme'!$B$14,"Amber","Red"))</f>
        <v/>
      </c>
    </row>
    <row r="319">
      <c r="A319" s="27" t="inlineStr">
        <is>
          <t>Sep 2026</t>
        </is>
      </c>
      <c r="B319" s="27" t="inlineStr">
        <is>
          <t>Jawa Tengah</t>
        </is>
      </c>
      <c r="C319" s="27" t="inlineStr">
        <is>
          <t>E-commerce</t>
        </is>
      </c>
      <c r="D319" s="27" t="inlineStr">
        <is>
          <t>Home Care</t>
        </is>
      </c>
      <c r="E319" s="28" t="n">
        <v>874</v>
      </c>
      <c r="F319" s="44" t="n">
        <v>233</v>
      </c>
      <c r="G319" s="38" t="n">
        <v>0.74</v>
      </c>
      <c r="H319" s="38" t="n">
        <v>0.84</v>
      </c>
      <c r="I319" s="38" t="n">
        <v>0.22</v>
      </c>
      <c r="J319" s="44" t="n">
        <v>10</v>
      </c>
      <c r="K319" s="44" t="n">
        <v>55</v>
      </c>
      <c r="L319" s="43">
        <f>IFERROR(F319/F283-1,0)</f>
        <v/>
      </c>
      <c r="M319" s="13">
        <f>IF(L319&gt;=0,"Green",IF(ABS(L319)&lt;='00_Readme'!$B$14,"Amber","Red"))</f>
        <v/>
      </c>
    </row>
    <row r="320">
      <c r="A320" s="27" t="inlineStr">
        <is>
          <t>Sep 2026</t>
        </is>
      </c>
      <c r="B320" s="27" t="inlineStr">
        <is>
          <t>Jawa Tengah</t>
        </is>
      </c>
      <c r="C320" s="27" t="inlineStr">
        <is>
          <t>E-commerce</t>
        </is>
      </c>
      <c r="D320" s="27" t="inlineStr">
        <is>
          <t>Beverages</t>
        </is>
      </c>
      <c r="E320" s="28" t="n">
        <v>912</v>
      </c>
      <c r="F320" s="44" t="n">
        <v>249</v>
      </c>
      <c r="G320" s="38" t="n">
        <v>0.74</v>
      </c>
      <c r="H320" s="38" t="n">
        <v>0.85</v>
      </c>
      <c r="I320" s="38" t="n">
        <v>0.22</v>
      </c>
      <c r="J320" s="44" t="n">
        <v>10</v>
      </c>
      <c r="K320" s="44" t="n">
        <v>62</v>
      </c>
      <c r="L320" s="43">
        <f>IFERROR(F320/F284-1,0)</f>
        <v/>
      </c>
      <c r="M320" s="13">
        <f>IF(L320&gt;=0,"Green",IF(ABS(L320)&lt;='00_Readme'!$B$14,"Amber","Red"))</f>
        <v/>
      </c>
    </row>
    <row r="321">
      <c r="A321" s="27" t="inlineStr">
        <is>
          <t>Sep 2026</t>
        </is>
      </c>
      <c r="B321" s="27" t="inlineStr">
        <is>
          <t>Jawa Timur</t>
        </is>
      </c>
      <c r="C321" s="27" t="inlineStr">
        <is>
          <t>General Trade</t>
        </is>
      </c>
      <c r="D321" s="27" t="inlineStr">
        <is>
          <t>Personal Care</t>
        </is>
      </c>
      <c r="E321" s="28" t="n">
        <v>738</v>
      </c>
      <c r="F321" s="44" t="n">
        <v>174</v>
      </c>
      <c r="G321" s="38" t="n">
        <v>0.72</v>
      </c>
      <c r="H321" s="38" t="n">
        <v>0.8099999999999999</v>
      </c>
      <c r="I321" s="38" t="n">
        <v>0.06</v>
      </c>
      <c r="J321" s="44" t="n">
        <v>4</v>
      </c>
      <c r="K321" s="44" t="n">
        <v>38</v>
      </c>
      <c r="L321" s="43">
        <f>IFERROR(F321/F285-1,0)</f>
        <v/>
      </c>
      <c r="M321" s="13">
        <f>IF(L321&gt;=0,"Green",IF(ABS(L321)&lt;='00_Readme'!$B$14,"Amber","Red"))</f>
        <v/>
      </c>
    </row>
    <row r="322">
      <c r="A322" s="27" t="inlineStr">
        <is>
          <t>Sep 2026</t>
        </is>
      </c>
      <c r="B322" s="27" t="inlineStr">
        <is>
          <t>Jawa Timur</t>
        </is>
      </c>
      <c r="C322" s="27" t="inlineStr">
        <is>
          <t>General Trade</t>
        </is>
      </c>
      <c r="D322" s="27" t="inlineStr">
        <is>
          <t>Home Care</t>
        </is>
      </c>
      <c r="E322" s="28" t="n">
        <v>776</v>
      </c>
      <c r="F322" s="44" t="n">
        <v>190</v>
      </c>
      <c r="G322" s="38" t="n">
        <v>0.72</v>
      </c>
      <c r="H322" s="38" t="n">
        <v>0.82</v>
      </c>
      <c r="I322" s="38" t="n">
        <v>0.06</v>
      </c>
      <c r="J322" s="44" t="n">
        <v>5</v>
      </c>
      <c r="K322" s="44" t="n">
        <v>45</v>
      </c>
      <c r="L322" s="43">
        <f>IFERROR(F322/F286-1,0)</f>
        <v/>
      </c>
      <c r="M322" s="13">
        <f>IF(L322&gt;=0,"Green",IF(ABS(L322)&lt;='00_Readme'!$B$14,"Amber","Red"))</f>
        <v/>
      </c>
    </row>
    <row r="323">
      <c r="A323" s="27" t="inlineStr">
        <is>
          <t>Sep 2026</t>
        </is>
      </c>
      <c r="B323" s="27" t="inlineStr">
        <is>
          <t>Jawa Timur</t>
        </is>
      </c>
      <c r="C323" s="27" t="inlineStr">
        <is>
          <t>General Trade</t>
        </is>
      </c>
      <c r="D323" s="27" t="inlineStr">
        <is>
          <t>Beverages</t>
        </is>
      </c>
      <c r="E323" s="28" t="n">
        <v>814</v>
      </c>
      <c r="F323" s="44" t="n">
        <v>206</v>
      </c>
      <c r="G323" s="38" t="n">
        <v>0.72</v>
      </c>
      <c r="H323" s="38" t="n">
        <v>0.83</v>
      </c>
      <c r="I323" s="38" t="n">
        <v>0.06</v>
      </c>
      <c r="J323" s="44" t="n">
        <v>5</v>
      </c>
      <c r="K323" s="44" t="n">
        <v>52</v>
      </c>
      <c r="L323" s="43">
        <f>IFERROR(F323/F287-1,0)</f>
        <v/>
      </c>
      <c r="M323" s="13">
        <f>IF(L323&gt;=0,"Green",IF(ABS(L323)&lt;='00_Readme'!$B$14,"Amber","Red"))</f>
        <v/>
      </c>
    </row>
    <row r="324">
      <c r="A324" s="27" t="inlineStr">
        <is>
          <t>Sep 2026</t>
        </is>
      </c>
      <c r="B324" s="27" t="inlineStr">
        <is>
          <t>Jawa Timur</t>
        </is>
      </c>
      <c r="C324" s="27" t="inlineStr">
        <is>
          <t>Modern Trade</t>
        </is>
      </c>
      <c r="D324" s="27" t="inlineStr">
        <is>
          <t>Personal Care</t>
        </is>
      </c>
      <c r="E324" s="28" t="n">
        <v>813</v>
      </c>
      <c r="F324" s="44" t="n">
        <v>202</v>
      </c>
      <c r="G324" s="38" t="n">
        <v>0.76</v>
      </c>
      <c r="H324" s="38" t="n">
        <v>0.85</v>
      </c>
      <c r="I324" s="38" t="n">
        <v>0.14</v>
      </c>
      <c r="J324" s="44" t="n">
        <v>7</v>
      </c>
      <c r="K324" s="44" t="n">
        <v>44</v>
      </c>
      <c r="L324" s="43">
        <f>IFERROR(F324/F288-1,0)</f>
        <v/>
      </c>
      <c r="M324" s="13">
        <f>IF(L324&gt;=0,"Green",IF(ABS(L324)&lt;='00_Readme'!$B$14,"Amber","Red"))</f>
        <v/>
      </c>
    </row>
    <row r="325">
      <c r="A325" s="27" t="inlineStr">
        <is>
          <t>Sep 2026</t>
        </is>
      </c>
      <c r="B325" s="27" t="inlineStr">
        <is>
          <t>Jawa Timur</t>
        </is>
      </c>
      <c r="C325" s="27" t="inlineStr">
        <is>
          <t>Modern Trade</t>
        </is>
      </c>
      <c r="D325" s="27" t="inlineStr">
        <is>
          <t>Home Care</t>
        </is>
      </c>
      <c r="E325" s="28" t="n">
        <v>851</v>
      </c>
      <c r="F325" s="44" t="n">
        <v>218</v>
      </c>
      <c r="G325" s="38" t="n">
        <v>0.76</v>
      </c>
      <c r="H325" s="38" t="n">
        <v>0.86</v>
      </c>
      <c r="I325" s="38" t="n">
        <v>0.14</v>
      </c>
      <c r="J325" s="44" t="n">
        <v>7</v>
      </c>
      <c r="K325" s="44" t="n">
        <v>51</v>
      </c>
      <c r="L325" s="43">
        <f>IFERROR(F325/F289-1,0)</f>
        <v/>
      </c>
      <c r="M325" s="13">
        <f>IF(L325&gt;=0,"Green",IF(ABS(L325)&lt;='00_Readme'!$B$14,"Amber","Red"))</f>
        <v/>
      </c>
    </row>
    <row r="326">
      <c r="A326" s="27" t="inlineStr">
        <is>
          <t>Sep 2026</t>
        </is>
      </c>
      <c r="B326" s="27" t="inlineStr">
        <is>
          <t>Jawa Timur</t>
        </is>
      </c>
      <c r="C326" s="27" t="inlineStr">
        <is>
          <t>Modern Trade</t>
        </is>
      </c>
      <c r="D326" s="27" t="inlineStr">
        <is>
          <t>Beverages</t>
        </is>
      </c>
      <c r="E326" s="28" t="n">
        <v>889</v>
      </c>
      <c r="F326" s="44" t="n">
        <v>234</v>
      </c>
      <c r="G326" s="38" t="n">
        <v>0.76</v>
      </c>
      <c r="H326" s="38" t="n">
        <v>0.87</v>
      </c>
      <c r="I326" s="38" t="n">
        <v>0.14</v>
      </c>
      <c r="J326" s="44" t="n">
        <v>8</v>
      </c>
      <c r="K326" s="44" t="n">
        <v>58</v>
      </c>
      <c r="L326" s="43">
        <f>IFERROR(F326/F290-1,0)</f>
        <v/>
      </c>
      <c r="M326" s="13">
        <f>IF(L326&gt;=0,"Green",IF(ABS(L326)&lt;='00_Readme'!$B$14,"Amber","Red"))</f>
        <v/>
      </c>
    </row>
    <row r="327">
      <c r="A327" s="27" t="inlineStr">
        <is>
          <t>Sep 2026</t>
        </is>
      </c>
      <c r="B327" s="27" t="inlineStr">
        <is>
          <t>Jawa Timur</t>
        </is>
      </c>
      <c r="C327" s="27" t="inlineStr">
        <is>
          <t>E-commerce</t>
        </is>
      </c>
      <c r="D327" s="27" t="inlineStr">
        <is>
          <t>Personal Care</t>
        </is>
      </c>
      <c r="E327" s="28" t="n">
        <v>888</v>
      </c>
      <c r="F327" s="44" t="n">
        <v>230</v>
      </c>
      <c r="G327" s="38" t="n">
        <v>0.7999999999999999</v>
      </c>
      <c r="H327" s="38" t="n">
        <v>0.8899999999999999</v>
      </c>
      <c r="I327" s="38" t="n">
        <v>0.22</v>
      </c>
      <c r="J327" s="44" t="n">
        <v>9</v>
      </c>
      <c r="K327" s="44" t="n">
        <v>51</v>
      </c>
      <c r="L327" s="43">
        <f>IFERROR(F327/F291-1,0)</f>
        <v/>
      </c>
      <c r="M327" s="13">
        <f>IF(L327&gt;=0,"Green",IF(ABS(L327)&lt;='00_Readme'!$B$14,"Amber","Red"))</f>
        <v/>
      </c>
    </row>
    <row r="328">
      <c r="A328" s="27" t="inlineStr">
        <is>
          <t>Sep 2026</t>
        </is>
      </c>
      <c r="B328" s="27" t="inlineStr">
        <is>
          <t>Jawa Timur</t>
        </is>
      </c>
      <c r="C328" s="27" t="inlineStr">
        <is>
          <t>E-commerce</t>
        </is>
      </c>
      <c r="D328" s="27" t="inlineStr">
        <is>
          <t>Home Care</t>
        </is>
      </c>
      <c r="E328" s="28" t="n">
        <v>926</v>
      </c>
      <c r="F328" s="44" t="n">
        <v>246</v>
      </c>
      <c r="G328" s="38" t="n">
        <v>0.7999999999999999</v>
      </c>
      <c r="H328" s="38" t="n">
        <v>0.8999999999999999</v>
      </c>
      <c r="I328" s="38" t="n">
        <v>0.22</v>
      </c>
      <c r="J328" s="44" t="n">
        <v>10</v>
      </c>
      <c r="K328" s="44" t="n">
        <v>58</v>
      </c>
      <c r="L328" s="43">
        <f>IFERROR(F328/F292-1,0)</f>
        <v/>
      </c>
      <c r="M328" s="13">
        <f>IF(L328&gt;=0,"Green",IF(ABS(L328)&lt;='00_Readme'!$B$14,"Amber","Red"))</f>
        <v/>
      </c>
    </row>
    <row r="329">
      <c r="A329" s="27" t="inlineStr">
        <is>
          <t>Sep 2026</t>
        </is>
      </c>
      <c r="B329" s="27" t="inlineStr">
        <is>
          <t>Jawa Timur</t>
        </is>
      </c>
      <c r="C329" s="27" t="inlineStr">
        <is>
          <t>E-commerce</t>
        </is>
      </c>
      <c r="D329" s="27" t="inlineStr">
        <is>
          <t>Beverages</t>
        </is>
      </c>
      <c r="E329" s="28" t="n">
        <v>964</v>
      </c>
      <c r="F329" s="44" t="n">
        <v>262</v>
      </c>
      <c r="G329" s="38" t="n">
        <v>0.7999999999999999</v>
      </c>
      <c r="H329" s="38" t="n">
        <v>0.9099999999999999</v>
      </c>
      <c r="I329" s="38" t="n">
        <v>0.22</v>
      </c>
      <c r="J329" s="44" t="n">
        <v>11</v>
      </c>
      <c r="K329" s="44" t="n">
        <v>66</v>
      </c>
      <c r="L329" s="43">
        <f>IFERROR(F329/F293-1,0)</f>
        <v/>
      </c>
      <c r="M329" s="13">
        <f>IF(L329&gt;=0,"Green",IF(ABS(L329)&lt;='00_Readme'!$B$14,"Amber","Red"))</f>
        <v/>
      </c>
    </row>
    <row r="330">
      <c r="A330" s="27" t="inlineStr">
        <is>
          <t>Oct 2026</t>
        </is>
      </c>
      <c r="B330" s="27" t="inlineStr">
        <is>
          <t>Jabodetabek</t>
        </is>
      </c>
      <c r="C330" s="27" t="inlineStr">
        <is>
          <t>General Trade</t>
        </is>
      </c>
      <c r="D330" s="27" t="inlineStr">
        <is>
          <t>Personal Care</t>
        </is>
      </c>
      <c r="E330" s="28" t="n">
        <v>554</v>
      </c>
      <c r="F330" s="44" t="n">
        <v>147</v>
      </c>
      <c r="G330" s="38" t="n">
        <v>0.52</v>
      </c>
      <c r="H330" s="38" t="n">
        <v>0.61</v>
      </c>
      <c r="I330" s="38" t="n">
        <v>0.06999999999999999</v>
      </c>
      <c r="J330" s="44" t="n">
        <v>4</v>
      </c>
      <c r="K330" s="44" t="n">
        <v>32</v>
      </c>
      <c r="L330" s="43">
        <f>IFERROR(F330/F294-1,0)</f>
        <v/>
      </c>
      <c r="M330" s="13">
        <f>IF(L330&gt;=0,"Green",IF(ABS(L330)&lt;='00_Readme'!$B$14,"Amber","Red"))</f>
        <v/>
      </c>
    </row>
    <row r="331">
      <c r="A331" s="27" t="inlineStr">
        <is>
          <t>Oct 2026</t>
        </is>
      </c>
      <c r="B331" s="27" t="inlineStr">
        <is>
          <t>Jabodetabek</t>
        </is>
      </c>
      <c r="C331" s="27" t="inlineStr">
        <is>
          <t>General Trade</t>
        </is>
      </c>
      <c r="D331" s="27" t="inlineStr">
        <is>
          <t>Home Care</t>
        </is>
      </c>
      <c r="E331" s="28" t="n">
        <v>592</v>
      </c>
      <c r="F331" s="44" t="n">
        <v>163</v>
      </c>
      <c r="G331" s="38" t="n">
        <v>0.52</v>
      </c>
      <c r="H331" s="38" t="n">
        <v>0.62</v>
      </c>
      <c r="I331" s="38" t="n">
        <v>0.06999999999999999</v>
      </c>
      <c r="J331" s="44" t="n">
        <v>4</v>
      </c>
      <c r="K331" s="44" t="n">
        <v>38</v>
      </c>
      <c r="L331" s="43">
        <f>IFERROR(F331/F295-1,0)</f>
        <v/>
      </c>
      <c r="M331" s="13">
        <f>IF(L331&gt;=0,"Green",IF(ABS(L331)&lt;='00_Readme'!$B$14,"Amber","Red"))</f>
        <v/>
      </c>
    </row>
    <row r="332">
      <c r="A332" s="27" t="inlineStr">
        <is>
          <t>Oct 2026</t>
        </is>
      </c>
      <c r="B332" s="27" t="inlineStr">
        <is>
          <t>Jabodetabek</t>
        </is>
      </c>
      <c r="C332" s="27" t="inlineStr">
        <is>
          <t>General Trade</t>
        </is>
      </c>
      <c r="D332" s="27" t="inlineStr">
        <is>
          <t>Beverages</t>
        </is>
      </c>
      <c r="E332" s="28" t="n">
        <v>630</v>
      </c>
      <c r="F332" s="44" t="n">
        <v>179</v>
      </c>
      <c r="G332" s="38" t="n">
        <v>0.52</v>
      </c>
      <c r="H332" s="38" t="n">
        <v>0.63</v>
      </c>
      <c r="I332" s="38" t="n">
        <v>0.06999999999999999</v>
      </c>
      <c r="J332" s="44" t="n">
        <v>4</v>
      </c>
      <c r="K332" s="44" t="n">
        <v>45</v>
      </c>
      <c r="L332" s="43">
        <f>IFERROR(F332/F296-1,0)</f>
        <v/>
      </c>
      <c r="M332" s="13">
        <f>IF(L332&gt;=0,"Green",IF(ABS(L332)&lt;='00_Readme'!$B$14,"Amber","Red"))</f>
        <v/>
      </c>
    </row>
    <row r="333">
      <c r="A333" s="27" t="inlineStr">
        <is>
          <t>Oct 2026</t>
        </is>
      </c>
      <c r="B333" s="27" t="inlineStr">
        <is>
          <t>Jabodetabek</t>
        </is>
      </c>
      <c r="C333" s="27" t="inlineStr">
        <is>
          <t>Modern Trade</t>
        </is>
      </c>
      <c r="D333" s="27" t="inlineStr">
        <is>
          <t>Personal Care</t>
        </is>
      </c>
      <c r="E333" s="28" t="n">
        <v>629</v>
      </c>
      <c r="F333" s="44" t="n">
        <v>175</v>
      </c>
      <c r="G333" s="38" t="n">
        <v>0.5600000000000001</v>
      </c>
      <c r="H333" s="38" t="n">
        <v>0.65</v>
      </c>
      <c r="I333" s="38" t="n">
        <v>0.15</v>
      </c>
      <c r="J333" s="44" t="n">
        <v>6</v>
      </c>
      <c r="K333" s="44" t="n">
        <v>38</v>
      </c>
      <c r="L333" s="43">
        <f>IFERROR(F333/F297-1,0)</f>
        <v/>
      </c>
      <c r="M333" s="13">
        <f>IF(L333&gt;=0,"Green",IF(ABS(L333)&lt;='00_Readme'!$B$14,"Amber","Red"))</f>
        <v/>
      </c>
    </row>
    <row r="334">
      <c r="A334" s="27" t="inlineStr">
        <is>
          <t>Oct 2026</t>
        </is>
      </c>
      <c r="B334" s="27" t="inlineStr">
        <is>
          <t>Jabodetabek</t>
        </is>
      </c>
      <c r="C334" s="27" t="inlineStr">
        <is>
          <t>Modern Trade</t>
        </is>
      </c>
      <c r="D334" s="27" t="inlineStr">
        <is>
          <t>Home Care</t>
        </is>
      </c>
      <c r="E334" s="28" t="n">
        <v>667</v>
      </c>
      <c r="F334" s="44" t="n">
        <v>191</v>
      </c>
      <c r="G334" s="38" t="n">
        <v>0.5600000000000001</v>
      </c>
      <c r="H334" s="38" t="n">
        <v>0.66</v>
      </c>
      <c r="I334" s="38" t="n">
        <v>0.15</v>
      </c>
      <c r="J334" s="44" t="n">
        <v>6</v>
      </c>
      <c r="K334" s="44" t="n">
        <v>45</v>
      </c>
      <c r="L334" s="43">
        <f>IFERROR(F334/F298-1,0)</f>
        <v/>
      </c>
      <c r="M334" s="13">
        <f>IF(L334&gt;=0,"Green",IF(ABS(L334)&lt;='00_Readme'!$B$14,"Amber","Red"))</f>
        <v/>
      </c>
    </row>
    <row r="335">
      <c r="A335" s="27" t="inlineStr">
        <is>
          <t>Oct 2026</t>
        </is>
      </c>
      <c r="B335" s="27" t="inlineStr">
        <is>
          <t>Jabodetabek</t>
        </is>
      </c>
      <c r="C335" s="27" t="inlineStr">
        <is>
          <t>Modern Trade</t>
        </is>
      </c>
      <c r="D335" s="27" t="inlineStr">
        <is>
          <t>Beverages</t>
        </is>
      </c>
      <c r="E335" s="28" t="n">
        <v>705</v>
      </c>
      <c r="F335" s="44" t="n">
        <v>207</v>
      </c>
      <c r="G335" s="38" t="n">
        <v>0.5600000000000001</v>
      </c>
      <c r="H335" s="38" t="n">
        <v>0.67</v>
      </c>
      <c r="I335" s="38" t="n">
        <v>0.15</v>
      </c>
      <c r="J335" s="44" t="n">
        <v>7</v>
      </c>
      <c r="K335" s="44" t="n">
        <v>52</v>
      </c>
      <c r="L335" s="43">
        <f>IFERROR(F335/F299-1,0)</f>
        <v/>
      </c>
      <c r="M335" s="13">
        <f>IF(L335&gt;=0,"Green",IF(ABS(L335)&lt;='00_Readme'!$B$14,"Amber","Red"))</f>
        <v/>
      </c>
    </row>
    <row r="336">
      <c r="A336" s="27" t="inlineStr">
        <is>
          <t>Oct 2026</t>
        </is>
      </c>
      <c r="B336" s="27" t="inlineStr">
        <is>
          <t>Jabodetabek</t>
        </is>
      </c>
      <c r="C336" s="27" t="inlineStr">
        <is>
          <t>E-commerce</t>
        </is>
      </c>
      <c r="D336" s="27" t="inlineStr">
        <is>
          <t>Personal Care</t>
        </is>
      </c>
      <c r="E336" s="28" t="n">
        <v>704</v>
      </c>
      <c r="F336" s="44" t="n">
        <v>203</v>
      </c>
      <c r="G336" s="38" t="n">
        <v>0.6</v>
      </c>
      <c r="H336" s="38" t="n">
        <v>0.6899999999999999</v>
      </c>
      <c r="I336" s="38" t="n">
        <v>0.23</v>
      </c>
      <c r="J336" s="44" t="n">
        <v>8</v>
      </c>
      <c r="K336" s="44" t="n">
        <v>45</v>
      </c>
      <c r="L336" s="43">
        <f>IFERROR(F336/F300-1,0)</f>
        <v/>
      </c>
      <c r="M336" s="13">
        <f>IF(L336&gt;=0,"Green",IF(ABS(L336)&lt;='00_Readme'!$B$14,"Amber","Red"))</f>
        <v/>
      </c>
    </row>
    <row r="337">
      <c r="A337" s="27" t="inlineStr">
        <is>
          <t>Oct 2026</t>
        </is>
      </c>
      <c r="B337" s="27" t="inlineStr">
        <is>
          <t>Jabodetabek</t>
        </is>
      </c>
      <c r="C337" s="27" t="inlineStr">
        <is>
          <t>E-commerce</t>
        </is>
      </c>
      <c r="D337" s="27" t="inlineStr">
        <is>
          <t>Home Care</t>
        </is>
      </c>
      <c r="E337" s="28" t="n">
        <v>742</v>
      </c>
      <c r="F337" s="44" t="n">
        <v>219</v>
      </c>
      <c r="G337" s="38" t="n">
        <v>0.6</v>
      </c>
      <c r="H337" s="38" t="n">
        <v>0.7</v>
      </c>
      <c r="I337" s="38" t="n">
        <v>0.23</v>
      </c>
      <c r="J337" s="44" t="n">
        <v>9</v>
      </c>
      <c r="K337" s="44" t="n">
        <v>51</v>
      </c>
      <c r="L337" s="43">
        <f>IFERROR(F337/F301-1,0)</f>
        <v/>
      </c>
      <c r="M337" s="13">
        <f>IF(L337&gt;=0,"Green",IF(ABS(L337)&lt;='00_Readme'!$B$14,"Amber","Red"))</f>
        <v/>
      </c>
    </row>
    <row r="338">
      <c r="A338" s="27" t="inlineStr">
        <is>
          <t>Oct 2026</t>
        </is>
      </c>
      <c r="B338" s="27" t="inlineStr">
        <is>
          <t>Jabodetabek</t>
        </is>
      </c>
      <c r="C338" s="27" t="inlineStr">
        <is>
          <t>E-commerce</t>
        </is>
      </c>
      <c r="D338" s="27" t="inlineStr">
        <is>
          <t>Beverages</t>
        </is>
      </c>
      <c r="E338" s="28" t="n">
        <v>780</v>
      </c>
      <c r="F338" s="44" t="n">
        <v>235</v>
      </c>
      <c r="G338" s="38" t="n">
        <v>0.6</v>
      </c>
      <c r="H338" s="38" t="n">
        <v>0.71</v>
      </c>
      <c r="I338" s="38" t="n">
        <v>0.23</v>
      </c>
      <c r="J338" s="44" t="n">
        <v>10</v>
      </c>
      <c r="K338" s="44" t="n">
        <v>59</v>
      </c>
      <c r="L338" s="43">
        <f>IFERROR(F338/F302-1,0)</f>
        <v/>
      </c>
      <c r="M338" s="13">
        <f>IF(L338&gt;=0,"Green",IF(ABS(L338)&lt;='00_Readme'!$B$14,"Amber","Red"))</f>
        <v/>
      </c>
    </row>
    <row r="339">
      <c r="A339" s="27" t="inlineStr">
        <is>
          <t>Oct 2026</t>
        </is>
      </c>
      <c r="B339" s="27" t="inlineStr">
        <is>
          <t>Jawa Barat</t>
        </is>
      </c>
      <c r="C339" s="27" t="inlineStr">
        <is>
          <t>General Trade</t>
        </is>
      </c>
      <c r="D339" s="27" t="inlineStr">
        <is>
          <t>Personal Care</t>
        </is>
      </c>
      <c r="E339" s="28" t="n">
        <v>606</v>
      </c>
      <c r="F339" s="44" t="n">
        <v>160</v>
      </c>
      <c r="G339" s="38" t="n">
        <v>0.5800000000000001</v>
      </c>
      <c r="H339" s="38" t="n">
        <v>0.67</v>
      </c>
      <c r="I339" s="38" t="n">
        <v>0.06999999999999999</v>
      </c>
      <c r="J339" s="44" t="n">
        <v>4</v>
      </c>
      <c r="K339" s="44" t="n">
        <v>35</v>
      </c>
      <c r="L339" s="43">
        <f>IFERROR(F339/F303-1,0)</f>
        <v/>
      </c>
      <c r="M339" s="13">
        <f>IF(L339&gt;=0,"Green",IF(ABS(L339)&lt;='00_Readme'!$B$14,"Amber","Red"))</f>
        <v/>
      </c>
    </row>
    <row r="340">
      <c r="A340" s="27" t="inlineStr">
        <is>
          <t>Oct 2026</t>
        </is>
      </c>
      <c r="B340" s="27" t="inlineStr">
        <is>
          <t>Jawa Barat</t>
        </is>
      </c>
      <c r="C340" s="27" t="inlineStr">
        <is>
          <t>General Trade</t>
        </is>
      </c>
      <c r="D340" s="27" t="inlineStr">
        <is>
          <t>Home Care</t>
        </is>
      </c>
      <c r="E340" s="28" t="n">
        <v>644</v>
      </c>
      <c r="F340" s="44" t="n">
        <v>176</v>
      </c>
      <c r="G340" s="38" t="n">
        <v>0.5800000000000001</v>
      </c>
      <c r="H340" s="38" t="n">
        <v>0.68</v>
      </c>
      <c r="I340" s="38" t="n">
        <v>0.06999999999999999</v>
      </c>
      <c r="J340" s="44" t="n">
        <v>4</v>
      </c>
      <c r="K340" s="44" t="n">
        <v>41</v>
      </c>
      <c r="L340" s="43">
        <f>IFERROR(F340/F304-1,0)</f>
        <v/>
      </c>
      <c r="M340" s="13">
        <f>IF(L340&gt;=0,"Green",IF(ABS(L340)&lt;='00_Readme'!$B$14,"Amber","Red"))</f>
        <v/>
      </c>
    </row>
    <row r="341">
      <c r="A341" s="27" t="inlineStr">
        <is>
          <t>Oct 2026</t>
        </is>
      </c>
      <c r="B341" s="27" t="inlineStr">
        <is>
          <t>Jawa Barat</t>
        </is>
      </c>
      <c r="C341" s="27" t="inlineStr">
        <is>
          <t>General Trade</t>
        </is>
      </c>
      <c r="D341" s="27" t="inlineStr">
        <is>
          <t>Beverages</t>
        </is>
      </c>
      <c r="E341" s="28" t="n">
        <v>682</v>
      </c>
      <c r="F341" s="44" t="n">
        <v>192</v>
      </c>
      <c r="G341" s="38" t="n">
        <v>0.5800000000000001</v>
      </c>
      <c r="H341" s="38" t="n">
        <v>0.6900000000000001</v>
      </c>
      <c r="I341" s="38" t="n">
        <v>0.06999999999999999</v>
      </c>
      <c r="J341" s="44" t="n">
        <v>5</v>
      </c>
      <c r="K341" s="44" t="n">
        <v>48</v>
      </c>
      <c r="L341" s="43">
        <f>IFERROR(F341/F305-1,0)</f>
        <v/>
      </c>
      <c r="M341" s="13">
        <f>IF(L341&gt;=0,"Green",IF(ABS(L341)&lt;='00_Readme'!$B$14,"Amber","Red"))</f>
        <v/>
      </c>
    </row>
    <row r="342">
      <c r="A342" s="27" t="inlineStr">
        <is>
          <t>Oct 2026</t>
        </is>
      </c>
      <c r="B342" s="27" t="inlineStr">
        <is>
          <t>Jawa Barat</t>
        </is>
      </c>
      <c r="C342" s="27" t="inlineStr">
        <is>
          <t>Modern Trade</t>
        </is>
      </c>
      <c r="D342" s="27" t="inlineStr">
        <is>
          <t>Personal Care</t>
        </is>
      </c>
      <c r="E342" s="28" t="n">
        <v>681</v>
      </c>
      <c r="F342" s="44" t="n">
        <v>188</v>
      </c>
      <c r="G342" s="38" t="n">
        <v>0.6200000000000001</v>
      </c>
      <c r="H342" s="38" t="n">
        <v>0.7100000000000001</v>
      </c>
      <c r="I342" s="38" t="n">
        <v>0.15</v>
      </c>
      <c r="J342" s="44" t="n">
        <v>6</v>
      </c>
      <c r="K342" s="44" t="n">
        <v>41</v>
      </c>
      <c r="L342" s="43">
        <f>IFERROR(F342/F306-1,0)</f>
        <v/>
      </c>
      <c r="M342" s="13">
        <f>IF(L342&gt;=0,"Green",IF(ABS(L342)&lt;='00_Readme'!$B$14,"Amber","Red"))</f>
        <v/>
      </c>
    </row>
    <row r="343">
      <c r="A343" s="27" t="inlineStr">
        <is>
          <t>Oct 2026</t>
        </is>
      </c>
      <c r="B343" s="27" t="inlineStr">
        <is>
          <t>Jawa Barat</t>
        </is>
      </c>
      <c r="C343" s="27" t="inlineStr">
        <is>
          <t>Modern Trade</t>
        </is>
      </c>
      <c r="D343" s="27" t="inlineStr">
        <is>
          <t>Home Care</t>
        </is>
      </c>
      <c r="E343" s="28" t="n">
        <v>719</v>
      </c>
      <c r="F343" s="44" t="n">
        <v>204</v>
      </c>
      <c r="G343" s="38" t="n">
        <v>0.6200000000000001</v>
      </c>
      <c r="H343" s="38" t="n">
        <v>0.7200000000000001</v>
      </c>
      <c r="I343" s="38" t="n">
        <v>0.15</v>
      </c>
      <c r="J343" s="44" t="n">
        <v>7</v>
      </c>
      <c r="K343" s="44" t="n">
        <v>48</v>
      </c>
      <c r="L343" s="43">
        <f>IFERROR(F343/F307-1,0)</f>
        <v/>
      </c>
      <c r="M343" s="13">
        <f>IF(L343&gt;=0,"Green",IF(ABS(L343)&lt;='00_Readme'!$B$14,"Amber","Red"))</f>
        <v/>
      </c>
    </row>
    <row r="344">
      <c r="A344" s="27" t="inlineStr">
        <is>
          <t>Oct 2026</t>
        </is>
      </c>
      <c r="B344" s="27" t="inlineStr">
        <is>
          <t>Jawa Barat</t>
        </is>
      </c>
      <c r="C344" s="27" t="inlineStr">
        <is>
          <t>Modern Trade</t>
        </is>
      </c>
      <c r="D344" s="27" t="inlineStr">
        <is>
          <t>Beverages</t>
        </is>
      </c>
      <c r="E344" s="28" t="n">
        <v>757</v>
      </c>
      <c r="F344" s="44" t="n">
        <v>220</v>
      </c>
      <c r="G344" s="38" t="n">
        <v>0.6200000000000001</v>
      </c>
      <c r="H344" s="38" t="n">
        <v>0.7300000000000001</v>
      </c>
      <c r="I344" s="38" t="n">
        <v>0.15</v>
      </c>
      <c r="J344" s="44" t="n">
        <v>7</v>
      </c>
      <c r="K344" s="44" t="n">
        <v>55</v>
      </c>
      <c r="L344" s="43">
        <f>IFERROR(F344/F308-1,0)</f>
        <v/>
      </c>
      <c r="M344" s="13">
        <f>IF(L344&gt;=0,"Green",IF(ABS(L344)&lt;='00_Readme'!$B$14,"Amber","Red"))</f>
        <v/>
      </c>
    </row>
    <row r="345">
      <c r="A345" s="27" t="inlineStr">
        <is>
          <t>Oct 2026</t>
        </is>
      </c>
      <c r="B345" s="27" t="inlineStr">
        <is>
          <t>Jawa Barat</t>
        </is>
      </c>
      <c r="C345" s="27" t="inlineStr">
        <is>
          <t>E-commerce</t>
        </is>
      </c>
      <c r="D345" s="27" t="inlineStr">
        <is>
          <t>Personal Care</t>
        </is>
      </c>
      <c r="E345" s="28" t="n">
        <v>756</v>
      </c>
      <c r="F345" s="44" t="n">
        <v>216</v>
      </c>
      <c r="G345" s="38" t="n">
        <v>0.66</v>
      </c>
      <c r="H345" s="38" t="n">
        <v>0.75</v>
      </c>
      <c r="I345" s="38" t="n">
        <v>0.23</v>
      </c>
      <c r="J345" s="44" t="n">
        <v>9</v>
      </c>
      <c r="K345" s="44" t="n">
        <v>48</v>
      </c>
      <c r="L345" s="43">
        <f>IFERROR(F345/F309-1,0)</f>
        <v/>
      </c>
      <c r="M345" s="13">
        <f>IF(L345&gt;=0,"Green",IF(ABS(L345)&lt;='00_Readme'!$B$14,"Amber","Red"))</f>
        <v/>
      </c>
    </row>
    <row r="346">
      <c r="A346" s="27" t="inlineStr">
        <is>
          <t>Oct 2026</t>
        </is>
      </c>
      <c r="B346" s="27" t="inlineStr">
        <is>
          <t>Jawa Barat</t>
        </is>
      </c>
      <c r="C346" s="27" t="inlineStr">
        <is>
          <t>E-commerce</t>
        </is>
      </c>
      <c r="D346" s="27" t="inlineStr">
        <is>
          <t>Home Care</t>
        </is>
      </c>
      <c r="E346" s="28" t="n">
        <v>794</v>
      </c>
      <c r="F346" s="44" t="n">
        <v>232</v>
      </c>
      <c r="G346" s="38" t="n">
        <v>0.66</v>
      </c>
      <c r="H346" s="38" t="n">
        <v>0.76</v>
      </c>
      <c r="I346" s="38" t="n">
        <v>0.23</v>
      </c>
      <c r="J346" s="44" t="n">
        <v>10</v>
      </c>
      <c r="K346" s="44" t="n">
        <v>55</v>
      </c>
      <c r="L346" s="43">
        <f>IFERROR(F346/F310-1,0)</f>
        <v/>
      </c>
      <c r="M346" s="13">
        <f>IF(L346&gt;=0,"Green",IF(ABS(L346)&lt;='00_Readme'!$B$14,"Amber","Red"))</f>
        <v/>
      </c>
    </row>
    <row r="347">
      <c r="A347" s="27" t="inlineStr">
        <is>
          <t>Oct 2026</t>
        </is>
      </c>
      <c r="B347" s="27" t="inlineStr">
        <is>
          <t>Jawa Barat</t>
        </is>
      </c>
      <c r="C347" s="27" t="inlineStr">
        <is>
          <t>E-commerce</t>
        </is>
      </c>
      <c r="D347" s="27" t="inlineStr">
        <is>
          <t>Beverages</t>
        </is>
      </c>
      <c r="E347" s="28" t="n">
        <v>832</v>
      </c>
      <c r="F347" s="44" t="n">
        <v>248</v>
      </c>
      <c r="G347" s="38" t="n">
        <v>0.66</v>
      </c>
      <c r="H347" s="38" t="n">
        <v>0.77</v>
      </c>
      <c r="I347" s="38" t="n">
        <v>0.23</v>
      </c>
      <c r="J347" s="44" t="n">
        <v>10</v>
      </c>
      <c r="K347" s="44" t="n">
        <v>62</v>
      </c>
      <c r="L347" s="43">
        <f>IFERROR(F347/F311-1,0)</f>
        <v/>
      </c>
      <c r="M347" s="13">
        <f>IF(L347&gt;=0,"Green",IF(ABS(L347)&lt;='00_Readme'!$B$14,"Amber","Red"))</f>
        <v/>
      </c>
    </row>
    <row r="348">
      <c r="A348" s="27" t="inlineStr">
        <is>
          <t>Oct 2026</t>
        </is>
      </c>
      <c r="B348" s="27" t="inlineStr">
        <is>
          <t>Jawa Tengah</t>
        </is>
      </c>
      <c r="C348" s="27" t="inlineStr">
        <is>
          <t>General Trade</t>
        </is>
      </c>
      <c r="D348" s="27" t="inlineStr">
        <is>
          <t>Personal Care</t>
        </is>
      </c>
      <c r="E348" s="28" t="n">
        <v>658</v>
      </c>
      <c r="F348" s="44" t="n">
        <v>173</v>
      </c>
      <c r="G348" s="38" t="n">
        <v>0.64</v>
      </c>
      <c r="H348" s="38" t="n">
        <v>0.73</v>
      </c>
      <c r="I348" s="38" t="n">
        <v>0.06999999999999999</v>
      </c>
      <c r="J348" s="44" t="n">
        <v>4</v>
      </c>
      <c r="K348" s="44" t="n">
        <v>38</v>
      </c>
      <c r="L348" s="43">
        <f>IFERROR(F348/F312-1,0)</f>
        <v/>
      </c>
      <c r="M348" s="13">
        <f>IF(L348&gt;=0,"Green",IF(ABS(L348)&lt;='00_Readme'!$B$14,"Amber","Red"))</f>
        <v/>
      </c>
    </row>
    <row r="349">
      <c r="A349" s="27" t="inlineStr">
        <is>
          <t>Oct 2026</t>
        </is>
      </c>
      <c r="B349" s="27" t="inlineStr">
        <is>
          <t>Jawa Tengah</t>
        </is>
      </c>
      <c r="C349" s="27" t="inlineStr">
        <is>
          <t>General Trade</t>
        </is>
      </c>
      <c r="D349" s="27" t="inlineStr">
        <is>
          <t>Home Care</t>
        </is>
      </c>
      <c r="E349" s="28" t="n">
        <v>696</v>
      </c>
      <c r="F349" s="44" t="n">
        <v>189</v>
      </c>
      <c r="G349" s="38" t="n">
        <v>0.64</v>
      </c>
      <c r="H349" s="38" t="n">
        <v>0.74</v>
      </c>
      <c r="I349" s="38" t="n">
        <v>0.06999999999999999</v>
      </c>
      <c r="J349" s="44" t="n">
        <v>5</v>
      </c>
      <c r="K349" s="44" t="n">
        <v>44</v>
      </c>
      <c r="L349" s="43">
        <f>IFERROR(F349/F313-1,0)</f>
        <v/>
      </c>
      <c r="M349" s="13">
        <f>IF(L349&gt;=0,"Green",IF(ABS(L349)&lt;='00_Readme'!$B$14,"Amber","Red"))</f>
        <v/>
      </c>
    </row>
    <row r="350">
      <c r="A350" s="27" t="inlineStr">
        <is>
          <t>Oct 2026</t>
        </is>
      </c>
      <c r="B350" s="27" t="inlineStr">
        <is>
          <t>Jawa Tengah</t>
        </is>
      </c>
      <c r="C350" s="27" t="inlineStr">
        <is>
          <t>General Trade</t>
        </is>
      </c>
      <c r="D350" s="27" t="inlineStr">
        <is>
          <t>Beverages</t>
        </is>
      </c>
      <c r="E350" s="28" t="n">
        <v>734</v>
      </c>
      <c r="F350" s="44" t="n">
        <v>205</v>
      </c>
      <c r="G350" s="38" t="n">
        <v>0.64</v>
      </c>
      <c r="H350" s="38" t="n">
        <v>0.75</v>
      </c>
      <c r="I350" s="38" t="n">
        <v>0.06999999999999999</v>
      </c>
      <c r="J350" s="44" t="n">
        <v>5</v>
      </c>
      <c r="K350" s="44" t="n">
        <v>51</v>
      </c>
      <c r="L350" s="43">
        <f>IFERROR(F350/F314-1,0)</f>
        <v/>
      </c>
      <c r="M350" s="13">
        <f>IF(L350&gt;=0,"Green",IF(ABS(L350)&lt;='00_Readme'!$B$14,"Amber","Red"))</f>
        <v/>
      </c>
    </row>
    <row r="351">
      <c r="A351" s="27" t="inlineStr">
        <is>
          <t>Oct 2026</t>
        </is>
      </c>
      <c r="B351" s="27" t="inlineStr">
        <is>
          <t>Jawa Tengah</t>
        </is>
      </c>
      <c r="C351" s="27" t="inlineStr">
        <is>
          <t>Modern Trade</t>
        </is>
      </c>
      <c r="D351" s="27" t="inlineStr">
        <is>
          <t>Personal Care</t>
        </is>
      </c>
      <c r="E351" s="28" t="n">
        <v>733</v>
      </c>
      <c r="F351" s="44" t="n">
        <v>201</v>
      </c>
      <c r="G351" s="38" t="n">
        <v>0.68</v>
      </c>
      <c r="H351" s="38" t="n">
        <v>0.77</v>
      </c>
      <c r="I351" s="38" t="n">
        <v>0.15</v>
      </c>
      <c r="J351" s="44" t="n">
        <v>7</v>
      </c>
      <c r="K351" s="44" t="n">
        <v>44</v>
      </c>
      <c r="L351" s="43">
        <f>IFERROR(F351/F315-1,0)</f>
        <v/>
      </c>
      <c r="M351" s="13">
        <f>IF(L351&gt;=0,"Green",IF(ABS(L351)&lt;='00_Readme'!$B$14,"Amber","Red"))</f>
        <v/>
      </c>
    </row>
    <row r="352">
      <c r="A352" s="27" t="inlineStr">
        <is>
          <t>Oct 2026</t>
        </is>
      </c>
      <c r="B352" s="27" t="inlineStr">
        <is>
          <t>Jawa Tengah</t>
        </is>
      </c>
      <c r="C352" s="27" t="inlineStr">
        <is>
          <t>Modern Trade</t>
        </is>
      </c>
      <c r="D352" s="27" t="inlineStr">
        <is>
          <t>Home Care</t>
        </is>
      </c>
      <c r="E352" s="28" t="n">
        <v>771</v>
      </c>
      <c r="F352" s="44" t="n">
        <v>217</v>
      </c>
      <c r="G352" s="38" t="n">
        <v>0.68</v>
      </c>
      <c r="H352" s="38" t="n">
        <v>0.78</v>
      </c>
      <c r="I352" s="38" t="n">
        <v>0.15</v>
      </c>
      <c r="J352" s="44" t="n">
        <v>7</v>
      </c>
      <c r="K352" s="44" t="n">
        <v>51</v>
      </c>
      <c r="L352" s="43">
        <f>IFERROR(F352/F316-1,0)</f>
        <v/>
      </c>
      <c r="M352" s="13">
        <f>IF(L352&gt;=0,"Green",IF(ABS(L352)&lt;='00_Readme'!$B$14,"Amber","Red"))</f>
        <v/>
      </c>
    </row>
    <row r="353">
      <c r="A353" s="27" t="inlineStr">
        <is>
          <t>Oct 2026</t>
        </is>
      </c>
      <c r="B353" s="27" t="inlineStr">
        <is>
          <t>Jawa Tengah</t>
        </is>
      </c>
      <c r="C353" s="27" t="inlineStr">
        <is>
          <t>Modern Trade</t>
        </is>
      </c>
      <c r="D353" s="27" t="inlineStr">
        <is>
          <t>Beverages</t>
        </is>
      </c>
      <c r="E353" s="28" t="n">
        <v>809</v>
      </c>
      <c r="F353" s="44" t="n">
        <v>233</v>
      </c>
      <c r="G353" s="38" t="n">
        <v>0.68</v>
      </c>
      <c r="H353" s="38" t="n">
        <v>0.79</v>
      </c>
      <c r="I353" s="38" t="n">
        <v>0.15</v>
      </c>
      <c r="J353" s="44" t="n">
        <v>8</v>
      </c>
      <c r="K353" s="44" t="n">
        <v>58</v>
      </c>
      <c r="L353" s="43">
        <f>IFERROR(F353/F317-1,0)</f>
        <v/>
      </c>
      <c r="M353" s="13">
        <f>IF(L353&gt;=0,"Green",IF(ABS(L353)&lt;='00_Readme'!$B$14,"Amber","Red"))</f>
        <v/>
      </c>
    </row>
    <row r="354">
      <c r="A354" s="27" t="inlineStr">
        <is>
          <t>Oct 2026</t>
        </is>
      </c>
      <c r="B354" s="27" t="inlineStr">
        <is>
          <t>Jawa Tengah</t>
        </is>
      </c>
      <c r="C354" s="27" t="inlineStr">
        <is>
          <t>E-commerce</t>
        </is>
      </c>
      <c r="D354" s="27" t="inlineStr">
        <is>
          <t>Personal Care</t>
        </is>
      </c>
      <c r="E354" s="28" t="n">
        <v>808</v>
      </c>
      <c r="F354" s="44" t="n">
        <v>229</v>
      </c>
      <c r="G354" s="38" t="n">
        <v>0.72</v>
      </c>
      <c r="H354" s="38" t="n">
        <v>0.8099999999999999</v>
      </c>
      <c r="I354" s="38" t="n">
        <v>0.23</v>
      </c>
      <c r="J354" s="44" t="n">
        <v>9</v>
      </c>
      <c r="K354" s="44" t="n">
        <v>50</v>
      </c>
      <c r="L354" s="43">
        <f>IFERROR(F354/F318-1,0)</f>
        <v/>
      </c>
      <c r="M354" s="13">
        <f>IF(L354&gt;=0,"Green",IF(ABS(L354)&lt;='00_Readme'!$B$14,"Amber","Red"))</f>
        <v/>
      </c>
    </row>
    <row r="355">
      <c r="A355" s="27" t="inlineStr">
        <is>
          <t>Oct 2026</t>
        </is>
      </c>
      <c r="B355" s="27" t="inlineStr">
        <is>
          <t>Jawa Tengah</t>
        </is>
      </c>
      <c r="C355" s="27" t="inlineStr">
        <is>
          <t>E-commerce</t>
        </is>
      </c>
      <c r="D355" s="27" t="inlineStr">
        <is>
          <t>Home Care</t>
        </is>
      </c>
      <c r="E355" s="28" t="n">
        <v>846</v>
      </c>
      <c r="F355" s="44" t="n">
        <v>245</v>
      </c>
      <c r="G355" s="38" t="n">
        <v>0.72</v>
      </c>
      <c r="H355" s="38" t="n">
        <v>0.82</v>
      </c>
      <c r="I355" s="38" t="n">
        <v>0.23</v>
      </c>
      <c r="J355" s="44" t="n">
        <v>10</v>
      </c>
      <c r="K355" s="44" t="n">
        <v>58</v>
      </c>
      <c r="L355" s="43">
        <f>IFERROR(F355/F319-1,0)</f>
        <v/>
      </c>
      <c r="M355" s="13">
        <f>IF(L355&gt;=0,"Green",IF(ABS(L355)&lt;='00_Readme'!$B$14,"Amber","Red"))</f>
        <v/>
      </c>
    </row>
    <row r="356">
      <c r="A356" s="27" t="inlineStr">
        <is>
          <t>Oct 2026</t>
        </is>
      </c>
      <c r="B356" s="27" t="inlineStr">
        <is>
          <t>Jawa Tengah</t>
        </is>
      </c>
      <c r="C356" s="27" t="inlineStr">
        <is>
          <t>E-commerce</t>
        </is>
      </c>
      <c r="D356" s="27" t="inlineStr">
        <is>
          <t>Beverages</t>
        </is>
      </c>
      <c r="E356" s="28" t="n">
        <v>884</v>
      </c>
      <c r="F356" s="44" t="n">
        <v>261</v>
      </c>
      <c r="G356" s="38" t="n">
        <v>0.72</v>
      </c>
      <c r="H356" s="38" t="n">
        <v>0.83</v>
      </c>
      <c r="I356" s="38" t="n">
        <v>0.23</v>
      </c>
      <c r="J356" s="44" t="n">
        <v>11</v>
      </c>
      <c r="K356" s="44" t="n">
        <v>65</v>
      </c>
      <c r="L356" s="43">
        <f>IFERROR(F356/F320-1,0)</f>
        <v/>
      </c>
      <c r="M356" s="13">
        <f>IF(L356&gt;=0,"Green",IF(ABS(L356)&lt;='00_Readme'!$B$14,"Amber","Red"))</f>
        <v/>
      </c>
    </row>
    <row r="357">
      <c r="A357" s="27" t="inlineStr">
        <is>
          <t>Oct 2026</t>
        </is>
      </c>
      <c r="B357" s="27" t="inlineStr">
        <is>
          <t>Jawa Timur</t>
        </is>
      </c>
      <c r="C357" s="27" t="inlineStr">
        <is>
          <t>General Trade</t>
        </is>
      </c>
      <c r="D357" s="27" t="inlineStr">
        <is>
          <t>Personal Care</t>
        </is>
      </c>
      <c r="E357" s="28" t="n">
        <v>710</v>
      </c>
      <c r="F357" s="44" t="n">
        <v>186</v>
      </c>
      <c r="G357" s="38" t="n">
        <v>0.7</v>
      </c>
      <c r="H357" s="38" t="n">
        <v>0.7899999999999999</v>
      </c>
      <c r="I357" s="38" t="n">
        <v>0.06999999999999999</v>
      </c>
      <c r="J357" s="44" t="n">
        <v>5</v>
      </c>
      <c r="K357" s="44" t="n">
        <v>41</v>
      </c>
      <c r="L357" s="43">
        <f>IFERROR(F357/F321-1,0)</f>
        <v/>
      </c>
      <c r="M357" s="13">
        <f>IF(L357&gt;=0,"Green",IF(ABS(L357)&lt;='00_Readme'!$B$14,"Amber","Red"))</f>
        <v/>
      </c>
    </row>
    <row r="358">
      <c r="A358" s="27" t="inlineStr">
        <is>
          <t>Oct 2026</t>
        </is>
      </c>
      <c r="B358" s="27" t="inlineStr">
        <is>
          <t>Jawa Timur</t>
        </is>
      </c>
      <c r="C358" s="27" t="inlineStr">
        <is>
          <t>General Trade</t>
        </is>
      </c>
      <c r="D358" s="27" t="inlineStr">
        <is>
          <t>Home Care</t>
        </is>
      </c>
      <c r="E358" s="28" t="n">
        <v>748</v>
      </c>
      <c r="F358" s="44" t="n">
        <v>202</v>
      </c>
      <c r="G358" s="38" t="n">
        <v>0.7</v>
      </c>
      <c r="H358" s="38" t="n">
        <v>0.7999999999999999</v>
      </c>
      <c r="I358" s="38" t="n">
        <v>0.06999999999999999</v>
      </c>
      <c r="J358" s="44" t="n">
        <v>5</v>
      </c>
      <c r="K358" s="44" t="n">
        <v>47</v>
      </c>
      <c r="L358" s="43">
        <f>IFERROR(F358/F322-1,0)</f>
        <v/>
      </c>
      <c r="M358" s="13">
        <f>IF(L358&gt;=0,"Green",IF(ABS(L358)&lt;='00_Readme'!$B$14,"Amber","Red"))</f>
        <v/>
      </c>
    </row>
    <row r="359">
      <c r="A359" s="27" t="inlineStr">
        <is>
          <t>Oct 2026</t>
        </is>
      </c>
      <c r="B359" s="27" t="inlineStr">
        <is>
          <t>Jawa Timur</t>
        </is>
      </c>
      <c r="C359" s="27" t="inlineStr">
        <is>
          <t>General Trade</t>
        </is>
      </c>
      <c r="D359" s="27" t="inlineStr">
        <is>
          <t>Beverages</t>
        </is>
      </c>
      <c r="E359" s="28" t="n">
        <v>786</v>
      </c>
      <c r="F359" s="44" t="n">
        <v>218</v>
      </c>
      <c r="G359" s="38" t="n">
        <v>0.7</v>
      </c>
      <c r="H359" s="38" t="n">
        <v>0.8099999999999999</v>
      </c>
      <c r="I359" s="38" t="n">
        <v>0.06999999999999999</v>
      </c>
      <c r="J359" s="44" t="n">
        <v>5</v>
      </c>
      <c r="K359" s="44" t="n">
        <v>54</v>
      </c>
      <c r="L359" s="43">
        <f>IFERROR(F359/F323-1,0)</f>
        <v/>
      </c>
      <c r="M359" s="13">
        <f>IF(L359&gt;=0,"Green",IF(ABS(L359)&lt;='00_Readme'!$B$14,"Amber","Red"))</f>
        <v/>
      </c>
    </row>
    <row r="360">
      <c r="A360" s="27" t="inlineStr">
        <is>
          <t>Oct 2026</t>
        </is>
      </c>
      <c r="B360" s="27" t="inlineStr">
        <is>
          <t>Jawa Timur</t>
        </is>
      </c>
      <c r="C360" s="27" t="inlineStr">
        <is>
          <t>Modern Trade</t>
        </is>
      </c>
      <c r="D360" s="27" t="inlineStr">
        <is>
          <t>Personal Care</t>
        </is>
      </c>
      <c r="E360" s="28" t="n">
        <v>785</v>
      </c>
      <c r="F360" s="44" t="n">
        <v>214</v>
      </c>
      <c r="G360" s="38" t="n">
        <v>0.74</v>
      </c>
      <c r="H360" s="38" t="n">
        <v>0.83</v>
      </c>
      <c r="I360" s="38" t="n">
        <v>0.15</v>
      </c>
      <c r="J360" s="44" t="n">
        <v>7</v>
      </c>
      <c r="K360" s="44" t="n">
        <v>47</v>
      </c>
      <c r="L360" s="43">
        <f>IFERROR(F360/F324-1,0)</f>
        <v/>
      </c>
      <c r="M360" s="13">
        <f>IF(L360&gt;=0,"Green",IF(ABS(L360)&lt;='00_Readme'!$B$14,"Amber","Red"))</f>
        <v/>
      </c>
    </row>
    <row r="361">
      <c r="A361" s="27" t="inlineStr">
        <is>
          <t>Oct 2026</t>
        </is>
      </c>
      <c r="B361" s="27" t="inlineStr">
        <is>
          <t>Jawa Timur</t>
        </is>
      </c>
      <c r="C361" s="27" t="inlineStr">
        <is>
          <t>Modern Trade</t>
        </is>
      </c>
      <c r="D361" s="27" t="inlineStr">
        <is>
          <t>Home Care</t>
        </is>
      </c>
      <c r="E361" s="28" t="n">
        <v>823</v>
      </c>
      <c r="F361" s="44" t="n">
        <v>230</v>
      </c>
      <c r="G361" s="38" t="n">
        <v>0.74</v>
      </c>
      <c r="H361" s="38" t="n">
        <v>0.84</v>
      </c>
      <c r="I361" s="38" t="n">
        <v>0.15</v>
      </c>
      <c r="J361" s="44" t="n">
        <v>8</v>
      </c>
      <c r="K361" s="44" t="n">
        <v>54</v>
      </c>
      <c r="L361" s="43">
        <f>IFERROR(F361/F325-1,0)</f>
        <v/>
      </c>
      <c r="M361" s="13">
        <f>IF(L361&gt;=0,"Green",IF(ABS(L361)&lt;='00_Readme'!$B$14,"Amber","Red"))</f>
        <v/>
      </c>
    </row>
    <row r="362">
      <c r="A362" s="27" t="inlineStr">
        <is>
          <t>Oct 2026</t>
        </is>
      </c>
      <c r="B362" s="27" t="inlineStr">
        <is>
          <t>Jawa Timur</t>
        </is>
      </c>
      <c r="C362" s="27" t="inlineStr">
        <is>
          <t>Modern Trade</t>
        </is>
      </c>
      <c r="D362" s="27" t="inlineStr">
        <is>
          <t>Beverages</t>
        </is>
      </c>
      <c r="E362" s="28" t="n">
        <v>861</v>
      </c>
      <c r="F362" s="44" t="n">
        <v>246</v>
      </c>
      <c r="G362" s="38" t="n">
        <v>0.74</v>
      </c>
      <c r="H362" s="38" t="n">
        <v>0.85</v>
      </c>
      <c r="I362" s="38" t="n">
        <v>0.15</v>
      </c>
      <c r="J362" s="44" t="n">
        <v>8</v>
      </c>
      <c r="K362" s="44" t="n">
        <v>62</v>
      </c>
      <c r="L362" s="43">
        <f>IFERROR(F362/F326-1,0)</f>
        <v/>
      </c>
      <c r="M362" s="13">
        <f>IF(L362&gt;=0,"Green",IF(ABS(L362)&lt;='00_Readme'!$B$14,"Amber","Red"))</f>
        <v/>
      </c>
    </row>
    <row r="363">
      <c r="A363" s="27" t="inlineStr">
        <is>
          <t>Oct 2026</t>
        </is>
      </c>
      <c r="B363" s="27" t="inlineStr">
        <is>
          <t>Jawa Timur</t>
        </is>
      </c>
      <c r="C363" s="27" t="inlineStr">
        <is>
          <t>E-commerce</t>
        </is>
      </c>
      <c r="D363" s="27" t="inlineStr">
        <is>
          <t>Personal Care</t>
        </is>
      </c>
      <c r="E363" s="28" t="n">
        <v>860</v>
      </c>
      <c r="F363" s="44" t="n">
        <v>242</v>
      </c>
      <c r="G363" s="38" t="n">
        <v>0.7799999999999999</v>
      </c>
      <c r="H363" s="38" t="n">
        <v>0.8699999999999999</v>
      </c>
      <c r="I363" s="38" t="n">
        <v>0.23</v>
      </c>
      <c r="J363" s="44" t="n">
        <v>10</v>
      </c>
      <c r="K363" s="44" t="n">
        <v>53</v>
      </c>
      <c r="L363" s="43">
        <f>IFERROR(F363/F327-1,0)</f>
        <v/>
      </c>
      <c r="M363" s="13">
        <f>IF(L363&gt;=0,"Green",IF(ABS(L363)&lt;='00_Readme'!$B$14,"Amber","Red"))</f>
        <v/>
      </c>
    </row>
    <row r="364">
      <c r="A364" s="27" t="inlineStr">
        <is>
          <t>Oct 2026</t>
        </is>
      </c>
      <c r="B364" s="27" t="inlineStr">
        <is>
          <t>Jawa Timur</t>
        </is>
      </c>
      <c r="C364" s="27" t="inlineStr">
        <is>
          <t>E-commerce</t>
        </is>
      </c>
      <c r="D364" s="27" t="inlineStr">
        <is>
          <t>Home Care</t>
        </is>
      </c>
      <c r="E364" s="28" t="n">
        <v>898</v>
      </c>
      <c r="F364" s="44" t="n">
        <v>258</v>
      </c>
      <c r="G364" s="38" t="n">
        <v>0.7799999999999999</v>
      </c>
      <c r="H364" s="38" t="n">
        <v>0.8799999999999999</v>
      </c>
      <c r="I364" s="38" t="n">
        <v>0.23</v>
      </c>
      <c r="J364" s="44" t="n">
        <v>11</v>
      </c>
      <c r="K364" s="44" t="n">
        <v>61</v>
      </c>
      <c r="L364" s="43">
        <f>IFERROR(F364/F328-1,0)</f>
        <v/>
      </c>
      <c r="M364" s="13">
        <f>IF(L364&gt;=0,"Green",IF(ABS(L364)&lt;='00_Readme'!$B$14,"Amber","Red"))</f>
        <v/>
      </c>
    </row>
    <row r="365">
      <c r="A365" s="27" t="inlineStr">
        <is>
          <t>Oct 2026</t>
        </is>
      </c>
      <c r="B365" s="27" t="inlineStr">
        <is>
          <t>Jawa Timur</t>
        </is>
      </c>
      <c r="C365" s="27" t="inlineStr">
        <is>
          <t>E-commerce</t>
        </is>
      </c>
      <c r="D365" s="27" t="inlineStr">
        <is>
          <t>Beverages</t>
        </is>
      </c>
      <c r="E365" s="28" t="n">
        <v>936</v>
      </c>
      <c r="F365" s="44" t="n">
        <v>274</v>
      </c>
      <c r="G365" s="38" t="n">
        <v>0.7799999999999999</v>
      </c>
      <c r="H365" s="38" t="n">
        <v>0.8899999999999999</v>
      </c>
      <c r="I365" s="38" t="n">
        <v>0.23</v>
      </c>
      <c r="J365" s="44" t="n">
        <v>11</v>
      </c>
      <c r="K365" s="44" t="n">
        <v>68</v>
      </c>
      <c r="L365" s="43">
        <f>IFERROR(F365/F329-1,0)</f>
        <v/>
      </c>
      <c r="M365" s="13">
        <f>IF(L365&gt;=0,"Green",IF(ABS(L365)&lt;='00_Readme'!$B$14,"Amber","Red"))</f>
        <v/>
      </c>
    </row>
    <row r="366">
      <c r="A366" s="27" t="inlineStr">
        <is>
          <t>Nov 2026</t>
        </is>
      </c>
      <c r="B366" s="27" t="inlineStr">
        <is>
          <t>Jabodetabek</t>
        </is>
      </c>
      <c r="C366" s="27" t="inlineStr">
        <is>
          <t>General Trade</t>
        </is>
      </c>
      <c r="D366" s="27" t="inlineStr">
        <is>
          <t>Personal Care</t>
        </is>
      </c>
      <c r="E366" s="28" t="n">
        <v>592</v>
      </c>
      <c r="F366" s="44" t="n">
        <v>159</v>
      </c>
      <c r="G366" s="38" t="n">
        <v>0.53</v>
      </c>
      <c r="H366" s="38" t="n">
        <v>0.62</v>
      </c>
      <c r="I366" s="38" t="n">
        <v>0.08</v>
      </c>
      <c r="J366" s="44" t="n">
        <v>4</v>
      </c>
      <c r="K366" s="44" t="n">
        <v>35</v>
      </c>
      <c r="L366" s="43">
        <f>IFERROR(F366/F330-1,0)</f>
        <v/>
      </c>
      <c r="M366" s="13">
        <f>IF(L366&gt;=0,"Green",IF(ABS(L366)&lt;='00_Readme'!$B$14,"Amber","Red"))</f>
        <v/>
      </c>
    </row>
    <row r="367">
      <c r="A367" s="27" t="inlineStr">
        <is>
          <t>Nov 2026</t>
        </is>
      </c>
      <c r="B367" s="27" t="inlineStr">
        <is>
          <t>Jabodetabek</t>
        </is>
      </c>
      <c r="C367" s="27" t="inlineStr">
        <is>
          <t>General Trade</t>
        </is>
      </c>
      <c r="D367" s="27" t="inlineStr">
        <is>
          <t>Home Care</t>
        </is>
      </c>
      <c r="E367" s="28" t="n">
        <v>630</v>
      </c>
      <c r="F367" s="44" t="n">
        <v>175</v>
      </c>
      <c r="G367" s="38" t="n">
        <v>0.53</v>
      </c>
      <c r="H367" s="38" t="n">
        <v>0.63</v>
      </c>
      <c r="I367" s="38" t="n">
        <v>0.08</v>
      </c>
      <c r="J367" s="44" t="n">
        <v>4</v>
      </c>
      <c r="K367" s="44" t="n">
        <v>41</v>
      </c>
      <c r="L367" s="43">
        <f>IFERROR(F367/F331-1,0)</f>
        <v/>
      </c>
      <c r="M367" s="13">
        <f>IF(L367&gt;=0,"Green",IF(ABS(L367)&lt;='00_Readme'!$B$14,"Amber","Red"))</f>
        <v/>
      </c>
    </row>
    <row r="368">
      <c r="A368" s="27" t="inlineStr">
        <is>
          <t>Nov 2026</t>
        </is>
      </c>
      <c r="B368" s="27" t="inlineStr">
        <is>
          <t>Jabodetabek</t>
        </is>
      </c>
      <c r="C368" s="27" t="inlineStr">
        <is>
          <t>General Trade</t>
        </is>
      </c>
      <c r="D368" s="27" t="inlineStr">
        <is>
          <t>Beverages</t>
        </is>
      </c>
      <c r="E368" s="28" t="n">
        <v>668</v>
      </c>
      <c r="F368" s="44" t="n">
        <v>191</v>
      </c>
      <c r="G368" s="38" t="n">
        <v>0.53</v>
      </c>
      <c r="H368" s="38" t="n">
        <v>0.64</v>
      </c>
      <c r="I368" s="38" t="n">
        <v>0.08</v>
      </c>
      <c r="J368" s="44" t="n">
        <v>5</v>
      </c>
      <c r="K368" s="44" t="n">
        <v>48</v>
      </c>
      <c r="L368" s="43">
        <f>IFERROR(F368/F332-1,0)</f>
        <v/>
      </c>
      <c r="M368" s="13">
        <f>IF(L368&gt;=0,"Green",IF(ABS(L368)&lt;='00_Readme'!$B$14,"Amber","Red"))</f>
        <v/>
      </c>
    </row>
    <row r="369">
      <c r="A369" s="27" t="inlineStr">
        <is>
          <t>Nov 2026</t>
        </is>
      </c>
      <c r="B369" s="27" t="inlineStr">
        <is>
          <t>Jabodetabek</t>
        </is>
      </c>
      <c r="C369" s="27" t="inlineStr">
        <is>
          <t>Modern Trade</t>
        </is>
      </c>
      <c r="D369" s="27" t="inlineStr">
        <is>
          <t>Personal Care</t>
        </is>
      </c>
      <c r="E369" s="28" t="n">
        <v>667</v>
      </c>
      <c r="F369" s="44" t="n">
        <v>187</v>
      </c>
      <c r="G369" s="38" t="n">
        <v>0.5700000000000001</v>
      </c>
      <c r="H369" s="38" t="n">
        <v>0.66</v>
      </c>
      <c r="I369" s="38" t="n">
        <v>0.16</v>
      </c>
      <c r="J369" s="44" t="n">
        <v>6</v>
      </c>
      <c r="K369" s="44" t="n">
        <v>41</v>
      </c>
      <c r="L369" s="43">
        <f>IFERROR(F369/F333-1,0)</f>
        <v/>
      </c>
      <c r="M369" s="13">
        <f>IF(L369&gt;=0,"Green",IF(ABS(L369)&lt;='00_Readme'!$B$14,"Amber","Red"))</f>
        <v/>
      </c>
    </row>
    <row r="370">
      <c r="A370" s="27" t="inlineStr">
        <is>
          <t>Nov 2026</t>
        </is>
      </c>
      <c r="B370" s="27" t="inlineStr">
        <is>
          <t>Jabodetabek</t>
        </is>
      </c>
      <c r="C370" s="27" t="inlineStr">
        <is>
          <t>Modern Trade</t>
        </is>
      </c>
      <c r="D370" s="27" t="inlineStr">
        <is>
          <t>Home Care</t>
        </is>
      </c>
      <c r="E370" s="28" t="n">
        <v>705</v>
      </c>
      <c r="F370" s="44" t="n">
        <v>203</v>
      </c>
      <c r="G370" s="38" t="n">
        <v>0.5700000000000001</v>
      </c>
      <c r="H370" s="38" t="n">
        <v>0.67</v>
      </c>
      <c r="I370" s="38" t="n">
        <v>0.16</v>
      </c>
      <c r="J370" s="44" t="n">
        <v>7</v>
      </c>
      <c r="K370" s="44" t="n">
        <v>48</v>
      </c>
      <c r="L370" s="43">
        <f>IFERROR(F370/F334-1,0)</f>
        <v/>
      </c>
      <c r="M370" s="13">
        <f>IF(L370&gt;=0,"Green",IF(ABS(L370)&lt;='00_Readme'!$B$14,"Amber","Red"))</f>
        <v/>
      </c>
    </row>
    <row r="371">
      <c r="A371" s="27" t="inlineStr">
        <is>
          <t>Nov 2026</t>
        </is>
      </c>
      <c r="B371" s="27" t="inlineStr">
        <is>
          <t>Jabodetabek</t>
        </is>
      </c>
      <c r="C371" s="27" t="inlineStr">
        <is>
          <t>Modern Trade</t>
        </is>
      </c>
      <c r="D371" s="27" t="inlineStr">
        <is>
          <t>Beverages</t>
        </is>
      </c>
      <c r="E371" s="28" t="n">
        <v>743</v>
      </c>
      <c r="F371" s="44" t="n">
        <v>219</v>
      </c>
      <c r="G371" s="38" t="n">
        <v>0.5700000000000001</v>
      </c>
      <c r="H371" s="38" t="n">
        <v>0.68</v>
      </c>
      <c r="I371" s="38" t="n">
        <v>0.16</v>
      </c>
      <c r="J371" s="44" t="n">
        <v>7</v>
      </c>
      <c r="K371" s="44" t="n">
        <v>55</v>
      </c>
      <c r="L371" s="43">
        <f>IFERROR(F371/F335-1,0)</f>
        <v/>
      </c>
      <c r="M371" s="13">
        <f>IF(L371&gt;=0,"Green",IF(ABS(L371)&lt;='00_Readme'!$B$14,"Amber","Red"))</f>
        <v/>
      </c>
    </row>
    <row r="372">
      <c r="A372" s="27" t="inlineStr">
        <is>
          <t>Nov 2026</t>
        </is>
      </c>
      <c r="B372" s="27" t="inlineStr">
        <is>
          <t>Jabodetabek</t>
        </is>
      </c>
      <c r="C372" s="27" t="inlineStr">
        <is>
          <t>E-commerce</t>
        </is>
      </c>
      <c r="D372" s="27" t="inlineStr">
        <is>
          <t>Personal Care</t>
        </is>
      </c>
      <c r="E372" s="28" t="n">
        <v>742</v>
      </c>
      <c r="F372" s="44" t="n">
        <v>215</v>
      </c>
      <c r="G372" s="38" t="n">
        <v>0.61</v>
      </c>
      <c r="H372" s="38" t="n">
        <v>0.7</v>
      </c>
      <c r="I372" s="38" t="n">
        <v>0.24</v>
      </c>
      <c r="J372" s="44" t="n">
        <v>9</v>
      </c>
      <c r="K372" s="44" t="n">
        <v>47</v>
      </c>
      <c r="L372" s="43">
        <f>IFERROR(F372/F336-1,0)</f>
        <v/>
      </c>
      <c r="M372" s="13">
        <f>IF(L372&gt;=0,"Green",IF(ABS(L372)&lt;='00_Readme'!$B$14,"Amber","Red"))</f>
        <v/>
      </c>
    </row>
    <row r="373">
      <c r="A373" s="27" t="inlineStr">
        <is>
          <t>Nov 2026</t>
        </is>
      </c>
      <c r="B373" s="27" t="inlineStr">
        <is>
          <t>Jabodetabek</t>
        </is>
      </c>
      <c r="C373" s="27" t="inlineStr">
        <is>
          <t>E-commerce</t>
        </is>
      </c>
      <c r="D373" s="27" t="inlineStr">
        <is>
          <t>Home Care</t>
        </is>
      </c>
      <c r="E373" s="28" t="n">
        <v>780</v>
      </c>
      <c r="F373" s="44" t="n">
        <v>231</v>
      </c>
      <c r="G373" s="38" t="n">
        <v>0.61</v>
      </c>
      <c r="H373" s="38" t="n">
        <v>0.71</v>
      </c>
      <c r="I373" s="38" t="n">
        <v>0.24</v>
      </c>
      <c r="J373" s="44" t="n">
        <v>9</v>
      </c>
      <c r="K373" s="44" t="n">
        <v>54</v>
      </c>
      <c r="L373" s="43">
        <f>IFERROR(F373/F337-1,0)</f>
        <v/>
      </c>
      <c r="M373" s="13">
        <f>IF(L373&gt;=0,"Green",IF(ABS(L373)&lt;='00_Readme'!$B$14,"Amber","Red"))</f>
        <v/>
      </c>
    </row>
    <row r="374">
      <c r="A374" s="27" t="inlineStr">
        <is>
          <t>Nov 2026</t>
        </is>
      </c>
      <c r="B374" s="27" t="inlineStr">
        <is>
          <t>Jabodetabek</t>
        </is>
      </c>
      <c r="C374" s="27" t="inlineStr">
        <is>
          <t>E-commerce</t>
        </is>
      </c>
      <c r="D374" s="27" t="inlineStr">
        <is>
          <t>Beverages</t>
        </is>
      </c>
      <c r="E374" s="28" t="n">
        <v>818</v>
      </c>
      <c r="F374" s="44" t="n">
        <v>247</v>
      </c>
      <c r="G374" s="38" t="n">
        <v>0.61</v>
      </c>
      <c r="H374" s="38" t="n">
        <v>0.72</v>
      </c>
      <c r="I374" s="38" t="n">
        <v>0.24</v>
      </c>
      <c r="J374" s="44" t="n">
        <v>10</v>
      </c>
      <c r="K374" s="44" t="n">
        <v>62</v>
      </c>
      <c r="L374" s="43">
        <f>IFERROR(F374/F338-1,0)</f>
        <v/>
      </c>
      <c r="M374" s="13">
        <f>IF(L374&gt;=0,"Green",IF(ABS(L374)&lt;='00_Readme'!$B$14,"Amber","Red"))</f>
        <v/>
      </c>
    </row>
    <row r="375">
      <c r="A375" s="27" t="inlineStr">
        <is>
          <t>Nov 2026</t>
        </is>
      </c>
      <c r="B375" s="27" t="inlineStr">
        <is>
          <t>Jawa Barat</t>
        </is>
      </c>
      <c r="C375" s="27" t="inlineStr">
        <is>
          <t>General Trade</t>
        </is>
      </c>
      <c r="D375" s="27" t="inlineStr">
        <is>
          <t>Personal Care</t>
        </is>
      </c>
      <c r="E375" s="28" t="n">
        <v>644</v>
      </c>
      <c r="F375" s="44" t="n">
        <v>172</v>
      </c>
      <c r="G375" s="38" t="n">
        <v>0.5900000000000001</v>
      </c>
      <c r="H375" s="38" t="n">
        <v>0.68</v>
      </c>
      <c r="I375" s="38" t="n">
        <v>0.08</v>
      </c>
      <c r="J375" s="44" t="n">
        <v>4</v>
      </c>
      <c r="K375" s="44" t="n">
        <v>38</v>
      </c>
      <c r="L375" s="43">
        <f>IFERROR(F375/F339-1,0)</f>
        <v/>
      </c>
      <c r="M375" s="13">
        <f>IF(L375&gt;=0,"Green",IF(ABS(L375)&lt;='00_Readme'!$B$14,"Amber","Red"))</f>
        <v/>
      </c>
    </row>
    <row r="376">
      <c r="A376" s="27" t="inlineStr">
        <is>
          <t>Nov 2026</t>
        </is>
      </c>
      <c r="B376" s="27" t="inlineStr">
        <is>
          <t>Jawa Barat</t>
        </is>
      </c>
      <c r="C376" s="27" t="inlineStr">
        <is>
          <t>General Trade</t>
        </is>
      </c>
      <c r="D376" s="27" t="inlineStr">
        <is>
          <t>Home Care</t>
        </is>
      </c>
      <c r="E376" s="28" t="n">
        <v>682</v>
      </c>
      <c r="F376" s="44" t="n">
        <v>188</v>
      </c>
      <c r="G376" s="38" t="n">
        <v>0.5900000000000001</v>
      </c>
      <c r="H376" s="38" t="n">
        <v>0.6900000000000001</v>
      </c>
      <c r="I376" s="38" t="n">
        <v>0.08</v>
      </c>
      <c r="J376" s="44" t="n">
        <v>5</v>
      </c>
      <c r="K376" s="44" t="n">
        <v>44</v>
      </c>
      <c r="L376" s="43">
        <f>IFERROR(F376/F340-1,0)</f>
        <v/>
      </c>
      <c r="M376" s="13">
        <f>IF(L376&gt;=0,"Green",IF(ABS(L376)&lt;='00_Readme'!$B$14,"Amber","Red"))</f>
        <v/>
      </c>
    </row>
    <row r="377">
      <c r="A377" s="27" t="inlineStr">
        <is>
          <t>Nov 2026</t>
        </is>
      </c>
      <c r="B377" s="27" t="inlineStr">
        <is>
          <t>Jawa Barat</t>
        </is>
      </c>
      <c r="C377" s="27" t="inlineStr">
        <is>
          <t>General Trade</t>
        </is>
      </c>
      <c r="D377" s="27" t="inlineStr">
        <is>
          <t>Beverages</t>
        </is>
      </c>
      <c r="E377" s="28" t="n">
        <v>720</v>
      </c>
      <c r="F377" s="44" t="n">
        <v>204</v>
      </c>
      <c r="G377" s="38" t="n">
        <v>0.5900000000000001</v>
      </c>
      <c r="H377" s="38" t="n">
        <v>0.7000000000000001</v>
      </c>
      <c r="I377" s="38" t="n">
        <v>0.08</v>
      </c>
      <c r="J377" s="44" t="n">
        <v>5</v>
      </c>
      <c r="K377" s="44" t="n">
        <v>51</v>
      </c>
      <c r="L377" s="43">
        <f>IFERROR(F377/F341-1,0)</f>
        <v/>
      </c>
      <c r="M377" s="13">
        <f>IF(L377&gt;=0,"Green",IF(ABS(L377)&lt;='00_Readme'!$B$14,"Amber","Red"))</f>
        <v/>
      </c>
    </row>
    <row r="378">
      <c r="A378" s="27" t="inlineStr">
        <is>
          <t>Nov 2026</t>
        </is>
      </c>
      <c r="B378" s="27" t="inlineStr">
        <is>
          <t>Jawa Barat</t>
        </is>
      </c>
      <c r="C378" s="27" t="inlineStr">
        <is>
          <t>Modern Trade</t>
        </is>
      </c>
      <c r="D378" s="27" t="inlineStr">
        <is>
          <t>Personal Care</t>
        </is>
      </c>
      <c r="E378" s="28" t="n">
        <v>719</v>
      </c>
      <c r="F378" s="44" t="n">
        <v>200</v>
      </c>
      <c r="G378" s="38" t="n">
        <v>0.6300000000000001</v>
      </c>
      <c r="H378" s="38" t="n">
        <v>0.7200000000000001</v>
      </c>
      <c r="I378" s="38" t="n">
        <v>0.16</v>
      </c>
      <c r="J378" s="44" t="n">
        <v>7</v>
      </c>
      <c r="K378" s="44" t="n">
        <v>44</v>
      </c>
      <c r="L378" s="43">
        <f>IFERROR(F378/F342-1,0)</f>
        <v/>
      </c>
      <c r="M378" s="13">
        <f>IF(L378&gt;=0,"Green",IF(ABS(L378)&lt;='00_Readme'!$B$14,"Amber","Red"))</f>
        <v/>
      </c>
    </row>
    <row r="379">
      <c r="A379" s="27" t="inlineStr">
        <is>
          <t>Nov 2026</t>
        </is>
      </c>
      <c r="B379" s="27" t="inlineStr">
        <is>
          <t>Jawa Barat</t>
        </is>
      </c>
      <c r="C379" s="27" t="inlineStr">
        <is>
          <t>Modern Trade</t>
        </is>
      </c>
      <c r="D379" s="27" t="inlineStr">
        <is>
          <t>Home Care</t>
        </is>
      </c>
      <c r="E379" s="28" t="n">
        <v>757</v>
      </c>
      <c r="F379" s="44" t="n">
        <v>216</v>
      </c>
      <c r="G379" s="38" t="n">
        <v>0.6300000000000001</v>
      </c>
      <c r="H379" s="38" t="n">
        <v>0.7300000000000001</v>
      </c>
      <c r="I379" s="38" t="n">
        <v>0.16</v>
      </c>
      <c r="J379" s="44" t="n">
        <v>7</v>
      </c>
      <c r="K379" s="44" t="n">
        <v>51</v>
      </c>
      <c r="L379" s="43">
        <f>IFERROR(F379/F343-1,0)</f>
        <v/>
      </c>
      <c r="M379" s="13">
        <f>IF(L379&gt;=0,"Green",IF(ABS(L379)&lt;='00_Readme'!$B$14,"Amber","Red"))</f>
        <v/>
      </c>
    </row>
    <row r="380">
      <c r="A380" s="27" t="inlineStr">
        <is>
          <t>Nov 2026</t>
        </is>
      </c>
      <c r="B380" s="27" t="inlineStr">
        <is>
          <t>Jawa Barat</t>
        </is>
      </c>
      <c r="C380" s="27" t="inlineStr">
        <is>
          <t>Modern Trade</t>
        </is>
      </c>
      <c r="D380" s="27" t="inlineStr">
        <is>
          <t>Beverages</t>
        </is>
      </c>
      <c r="E380" s="28" t="n">
        <v>795</v>
      </c>
      <c r="F380" s="44" t="n">
        <v>232</v>
      </c>
      <c r="G380" s="38" t="n">
        <v>0.6300000000000001</v>
      </c>
      <c r="H380" s="38" t="n">
        <v>0.7400000000000001</v>
      </c>
      <c r="I380" s="38" t="n">
        <v>0.16</v>
      </c>
      <c r="J380" s="44" t="n">
        <v>8</v>
      </c>
      <c r="K380" s="44" t="n">
        <v>58</v>
      </c>
      <c r="L380" s="43">
        <f>IFERROR(F380/F344-1,0)</f>
        <v/>
      </c>
      <c r="M380" s="13">
        <f>IF(L380&gt;=0,"Green",IF(ABS(L380)&lt;='00_Readme'!$B$14,"Amber","Red"))</f>
        <v/>
      </c>
    </row>
    <row r="381">
      <c r="A381" s="27" t="inlineStr">
        <is>
          <t>Nov 2026</t>
        </is>
      </c>
      <c r="B381" s="27" t="inlineStr">
        <is>
          <t>Jawa Barat</t>
        </is>
      </c>
      <c r="C381" s="27" t="inlineStr">
        <is>
          <t>E-commerce</t>
        </is>
      </c>
      <c r="D381" s="27" t="inlineStr">
        <is>
          <t>Personal Care</t>
        </is>
      </c>
      <c r="E381" s="28" t="n">
        <v>794</v>
      </c>
      <c r="F381" s="44" t="n">
        <v>228</v>
      </c>
      <c r="G381" s="38" t="n">
        <v>0.67</v>
      </c>
      <c r="H381" s="38" t="n">
        <v>0.76</v>
      </c>
      <c r="I381" s="38" t="n">
        <v>0.24</v>
      </c>
      <c r="J381" s="44" t="n">
        <v>9</v>
      </c>
      <c r="K381" s="44" t="n">
        <v>50</v>
      </c>
      <c r="L381" s="43">
        <f>IFERROR(F381/F345-1,0)</f>
        <v/>
      </c>
      <c r="M381" s="13">
        <f>IF(L381&gt;=0,"Green",IF(ABS(L381)&lt;='00_Readme'!$B$14,"Amber","Red"))</f>
        <v/>
      </c>
    </row>
    <row r="382">
      <c r="A382" s="27" t="inlineStr">
        <is>
          <t>Nov 2026</t>
        </is>
      </c>
      <c r="B382" s="27" t="inlineStr">
        <is>
          <t>Jawa Barat</t>
        </is>
      </c>
      <c r="C382" s="27" t="inlineStr">
        <is>
          <t>E-commerce</t>
        </is>
      </c>
      <c r="D382" s="27" t="inlineStr">
        <is>
          <t>Home Care</t>
        </is>
      </c>
      <c r="E382" s="28" t="n">
        <v>832</v>
      </c>
      <c r="F382" s="44" t="n">
        <v>244</v>
      </c>
      <c r="G382" s="38" t="n">
        <v>0.67</v>
      </c>
      <c r="H382" s="38" t="n">
        <v>0.77</v>
      </c>
      <c r="I382" s="38" t="n">
        <v>0.24</v>
      </c>
      <c r="J382" s="44" t="n">
        <v>10</v>
      </c>
      <c r="K382" s="44" t="n">
        <v>57</v>
      </c>
      <c r="L382" s="43">
        <f>IFERROR(F382/F346-1,0)</f>
        <v/>
      </c>
      <c r="M382" s="13">
        <f>IF(L382&gt;=0,"Green",IF(ABS(L382)&lt;='00_Readme'!$B$14,"Amber","Red"))</f>
        <v/>
      </c>
    </row>
    <row r="383">
      <c r="A383" s="27" t="inlineStr">
        <is>
          <t>Nov 2026</t>
        </is>
      </c>
      <c r="B383" s="27" t="inlineStr">
        <is>
          <t>Jawa Barat</t>
        </is>
      </c>
      <c r="C383" s="27" t="inlineStr">
        <is>
          <t>E-commerce</t>
        </is>
      </c>
      <c r="D383" s="27" t="inlineStr">
        <is>
          <t>Beverages</t>
        </is>
      </c>
      <c r="E383" s="28" t="n">
        <v>870</v>
      </c>
      <c r="F383" s="44" t="n">
        <v>260</v>
      </c>
      <c r="G383" s="38" t="n">
        <v>0.67</v>
      </c>
      <c r="H383" s="38" t="n">
        <v>0.78</v>
      </c>
      <c r="I383" s="38" t="n">
        <v>0.24</v>
      </c>
      <c r="J383" s="44" t="n">
        <v>11</v>
      </c>
      <c r="K383" s="44" t="n">
        <v>65</v>
      </c>
      <c r="L383" s="43">
        <f>IFERROR(F383/F347-1,0)</f>
        <v/>
      </c>
      <c r="M383" s="13">
        <f>IF(L383&gt;=0,"Green",IF(ABS(L383)&lt;='00_Readme'!$B$14,"Amber","Red"))</f>
        <v/>
      </c>
    </row>
    <row r="384">
      <c r="A384" s="27" t="inlineStr">
        <is>
          <t>Nov 2026</t>
        </is>
      </c>
      <c r="B384" s="27" t="inlineStr">
        <is>
          <t>Jawa Tengah</t>
        </is>
      </c>
      <c r="C384" s="27" t="inlineStr">
        <is>
          <t>General Trade</t>
        </is>
      </c>
      <c r="D384" s="27" t="inlineStr">
        <is>
          <t>Personal Care</t>
        </is>
      </c>
      <c r="E384" s="28" t="n">
        <v>696</v>
      </c>
      <c r="F384" s="44" t="n">
        <v>185</v>
      </c>
      <c r="G384" s="38" t="n">
        <v>0.65</v>
      </c>
      <c r="H384" s="38" t="n">
        <v>0.74</v>
      </c>
      <c r="I384" s="38" t="n">
        <v>0.08</v>
      </c>
      <c r="J384" s="44" t="n">
        <v>5</v>
      </c>
      <c r="K384" s="44" t="n">
        <v>41</v>
      </c>
      <c r="L384" s="43">
        <f>IFERROR(F384/F348-1,0)</f>
        <v/>
      </c>
      <c r="M384" s="13">
        <f>IF(L384&gt;=0,"Green",IF(ABS(L384)&lt;='00_Readme'!$B$14,"Amber","Red"))</f>
        <v/>
      </c>
    </row>
    <row r="385">
      <c r="A385" s="27" t="inlineStr">
        <is>
          <t>Nov 2026</t>
        </is>
      </c>
      <c r="B385" s="27" t="inlineStr">
        <is>
          <t>Jawa Tengah</t>
        </is>
      </c>
      <c r="C385" s="27" t="inlineStr">
        <is>
          <t>General Trade</t>
        </is>
      </c>
      <c r="D385" s="27" t="inlineStr">
        <is>
          <t>Home Care</t>
        </is>
      </c>
      <c r="E385" s="28" t="n">
        <v>734</v>
      </c>
      <c r="F385" s="44" t="n">
        <v>201</v>
      </c>
      <c r="G385" s="38" t="n">
        <v>0.65</v>
      </c>
      <c r="H385" s="38" t="n">
        <v>0.75</v>
      </c>
      <c r="I385" s="38" t="n">
        <v>0.08</v>
      </c>
      <c r="J385" s="44" t="n">
        <v>5</v>
      </c>
      <c r="K385" s="44" t="n">
        <v>47</v>
      </c>
      <c r="L385" s="43">
        <f>IFERROR(F385/F349-1,0)</f>
        <v/>
      </c>
      <c r="M385" s="13">
        <f>IF(L385&gt;=0,"Green",IF(ABS(L385)&lt;='00_Readme'!$B$14,"Amber","Red"))</f>
        <v/>
      </c>
    </row>
    <row r="386">
      <c r="A386" s="27" t="inlineStr">
        <is>
          <t>Nov 2026</t>
        </is>
      </c>
      <c r="B386" s="27" t="inlineStr">
        <is>
          <t>Jawa Tengah</t>
        </is>
      </c>
      <c r="C386" s="27" t="inlineStr">
        <is>
          <t>General Trade</t>
        </is>
      </c>
      <c r="D386" s="27" t="inlineStr">
        <is>
          <t>Beverages</t>
        </is>
      </c>
      <c r="E386" s="28" t="n">
        <v>772</v>
      </c>
      <c r="F386" s="44" t="n">
        <v>217</v>
      </c>
      <c r="G386" s="38" t="n">
        <v>0.65</v>
      </c>
      <c r="H386" s="38" t="n">
        <v>0.76</v>
      </c>
      <c r="I386" s="38" t="n">
        <v>0.08</v>
      </c>
      <c r="J386" s="44" t="n">
        <v>5</v>
      </c>
      <c r="K386" s="44" t="n">
        <v>54</v>
      </c>
      <c r="L386" s="43">
        <f>IFERROR(F386/F350-1,0)</f>
        <v/>
      </c>
      <c r="M386" s="13">
        <f>IF(L386&gt;=0,"Green",IF(ABS(L386)&lt;='00_Readme'!$B$14,"Amber","Red"))</f>
        <v/>
      </c>
    </row>
    <row r="387">
      <c r="A387" s="27" t="inlineStr">
        <is>
          <t>Nov 2026</t>
        </is>
      </c>
      <c r="B387" s="27" t="inlineStr">
        <is>
          <t>Jawa Tengah</t>
        </is>
      </c>
      <c r="C387" s="27" t="inlineStr">
        <is>
          <t>Modern Trade</t>
        </is>
      </c>
      <c r="D387" s="27" t="inlineStr">
        <is>
          <t>Personal Care</t>
        </is>
      </c>
      <c r="E387" s="28" t="n">
        <v>771</v>
      </c>
      <c r="F387" s="44" t="n">
        <v>213</v>
      </c>
      <c r="G387" s="38" t="n">
        <v>0.6900000000000001</v>
      </c>
      <c r="H387" s="38" t="n">
        <v>0.78</v>
      </c>
      <c r="I387" s="38" t="n">
        <v>0.16</v>
      </c>
      <c r="J387" s="44" t="n">
        <v>7</v>
      </c>
      <c r="K387" s="44" t="n">
        <v>47</v>
      </c>
      <c r="L387" s="43">
        <f>IFERROR(F387/F351-1,0)</f>
        <v/>
      </c>
      <c r="M387" s="13">
        <f>IF(L387&gt;=0,"Green",IF(ABS(L387)&lt;='00_Readme'!$B$14,"Amber","Red"))</f>
        <v/>
      </c>
    </row>
    <row r="388">
      <c r="A388" s="27" t="inlineStr">
        <is>
          <t>Nov 2026</t>
        </is>
      </c>
      <c r="B388" s="27" t="inlineStr">
        <is>
          <t>Jawa Tengah</t>
        </is>
      </c>
      <c r="C388" s="27" t="inlineStr">
        <is>
          <t>Modern Trade</t>
        </is>
      </c>
      <c r="D388" s="27" t="inlineStr">
        <is>
          <t>Home Care</t>
        </is>
      </c>
      <c r="E388" s="28" t="n">
        <v>809</v>
      </c>
      <c r="F388" s="44" t="n">
        <v>229</v>
      </c>
      <c r="G388" s="38" t="n">
        <v>0.6900000000000001</v>
      </c>
      <c r="H388" s="38" t="n">
        <v>0.79</v>
      </c>
      <c r="I388" s="38" t="n">
        <v>0.16</v>
      </c>
      <c r="J388" s="44" t="n">
        <v>8</v>
      </c>
      <c r="K388" s="44" t="n">
        <v>54</v>
      </c>
      <c r="L388" s="43">
        <f>IFERROR(F388/F352-1,0)</f>
        <v/>
      </c>
      <c r="M388" s="13">
        <f>IF(L388&gt;=0,"Green",IF(ABS(L388)&lt;='00_Readme'!$B$14,"Amber","Red"))</f>
        <v/>
      </c>
    </row>
    <row r="389">
      <c r="A389" s="27" t="inlineStr">
        <is>
          <t>Nov 2026</t>
        </is>
      </c>
      <c r="B389" s="27" t="inlineStr">
        <is>
          <t>Jawa Tengah</t>
        </is>
      </c>
      <c r="C389" s="27" t="inlineStr">
        <is>
          <t>Modern Trade</t>
        </is>
      </c>
      <c r="D389" s="27" t="inlineStr">
        <is>
          <t>Beverages</t>
        </is>
      </c>
      <c r="E389" s="28" t="n">
        <v>847</v>
      </c>
      <c r="F389" s="44" t="n">
        <v>245</v>
      </c>
      <c r="G389" s="38" t="n">
        <v>0.6900000000000001</v>
      </c>
      <c r="H389" s="38" t="n">
        <v>0.8</v>
      </c>
      <c r="I389" s="38" t="n">
        <v>0.16</v>
      </c>
      <c r="J389" s="44" t="n">
        <v>8</v>
      </c>
      <c r="K389" s="44" t="n">
        <v>61</v>
      </c>
      <c r="L389" s="43">
        <f>IFERROR(F389/F353-1,0)</f>
        <v/>
      </c>
      <c r="M389" s="13">
        <f>IF(L389&gt;=0,"Green",IF(ABS(L389)&lt;='00_Readme'!$B$14,"Amber","Red"))</f>
        <v/>
      </c>
    </row>
    <row r="390">
      <c r="A390" s="27" t="inlineStr">
        <is>
          <t>Nov 2026</t>
        </is>
      </c>
      <c r="B390" s="27" t="inlineStr">
        <is>
          <t>Jawa Tengah</t>
        </is>
      </c>
      <c r="C390" s="27" t="inlineStr">
        <is>
          <t>E-commerce</t>
        </is>
      </c>
      <c r="D390" s="27" t="inlineStr">
        <is>
          <t>Personal Care</t>
        </is>
      </c>
      <c r="E390" s="28" t="n">
        <v>846</v>
      </c>
      <c r="F390" s="44" t="n">
        <v>241</v>
      </c>
      <c r="G390" s="38" t="n">
        <v>0.73</v>
      </c>
      <c r="H390" s="38" t="n">
        <v>0.82</v>
      </c>
      <c r="I390" s="38" t="n">
        <v>0.24</v>
      </c>
      <c r="J390" s="44" t="n">
        <v>10</v>
      </c>
      <c r="K390" s="44" t="n">
        <v>53</v>
      </c>
      <c r="L390" s="43">
        <f>IFERROR(F390/F354-1,0)</f>
        <v/>
      </c>
      <c r="M390" s="13">
        <f>IF(L390&gt;=0,"Green",IF(ABS(L390)&lt;='00_Readme'!$B$14,"Amber","Red"))</f>
        <v/>
      </c>
    </row>
    <row r="391">
      <c r="A391" s="27" t="inlineStr">
        <is>
          <t>Nov 2026</t>
        </is>
      </c>
      <c r="B391" s="27" t="inlineStr">
        <is>
          <t>Jawa Tengah</t>
        </is>
      </c>
      <c r="C391" s="27" t="inlineStr">
        <is>
          <t>E-commerce</t>
        </is>
      </c>
      <c r="D391" s="27" t="inlineStr">
        <is>
          <t>Home Care</t>
        </is>
      </c>
      <c r="E391" s="28" t="n">
        <v>884</v>
      </c>
      <c r="F391" s="44" t="n">
        <v>257</v>
      </c>
      <c r="G391" s="38" t="n">
        <v>0.73</v>
      </c>
      <c r="H391" s="38" t="n">
        <v>0.83</v>
      </c>
      <c r="I391" s="38" t="n">
        <v>0.24</v>
      </c>
      <c r="J391" s="44" t="n">
        <v>11</v>
      </c>
      <c r="K391" s="44" t="n">
        <v>60</v>
      </c>
      <c r="L391" s="43">
        <f>IFERROR(F391/F355-1,0)</f>
        <v/>
      </c>
      <c r="M391" s="13">
        <f>IF(L391&gt;=0,"Green",IF(ABS(L391)&lt;='00_Readme'!$B$14,"Amber","Red"))</f>
        <v/>
      </c>
    </row>
    <row r="392">
      <c r="A392" s="27" t="inlineStr">
        <is>
          <t>Nov 2026</t>
        </is>
      </c>
      <c r="B392" s="27" t="inlineStr">
        <is>
          <t>Jawa Tengah</t>
        </is>
      </c>
      <c r="C392" s="27" t="inlineStr">
        <is>
          <t>E-commerce</t>
        </is>
      </c>
      <c r="D392" s="27" t="inlineStr">
        <is>
          <t>Beverages</t>
        </is>
      </c>
      <c r="E392" s="28" t="n">
        <v>922</v>
      </c>
      <c r="F392" s="44" t="n">
        <v>273</v>
      </c>
      <c r="G392" s="38" t="n">
        <v>0.73</v>
      </c>
      <c r="H392" s="38" t="n">
        <v>0.84</v>
      </c>
      <c r="I392" s="38" t="n">
        <v>0.24</v>
      </c>
      <c r="J392" s="44" t="n">
        <v>11</v>
      </c>
      <c r="K392" s="44" t="n">
        <v>68</v>
      </c>
      <c r="L392" s="43">
        <f>IFERROR(F392/F356-1,0)</f>
        <v/>
      </c>
      <c r="M392" s="13">
        <f>IF(L392&gt;=0,"Green",IF(ABS(L392)&lt;='00_Readme'!$B$14,"Amber","Red"))</f>
        <v/>
      </c>
    </row>
    <row r="393">
      <c r="A393" s="27" t="inlineStr">
        <is>
          <t>Nov 2026</t>
        </is>
      </c>
      <c r="B393" s="27" t="inlineStr">
        <is>
          <t>Jawa Timur</t>
        </is>
      </c>
      <c r="C393" s="27" t="inlineStr">
        <is>
          <t>General Trade</t>
        </is>
      </c>
      <c r="D393" s="27" t="inlineStr">
        <is>
          <t>Personal Care</t>
        </is>
      </c>
      <c r="E393" s="28" t="n">
        <v>748</v>
      </c>
      <c r="F393" s="44" t="n">
        <v>198</v>
      </c>
      <c r="G393" s="38" t="n">
        <v>0.71</v>
      </c>
      <c r="H393" s="38" t="n">
        <v>0.7999999999999999</v>
      </c>
      <c r="I393" s="38" t="n">
        <v>0.08</v>
      </c>
      <c r="J393" s="44" t="n">
        <v>5</v>
      </c>
      <c r="K393" s="44" t="n">
        <v>44</v>
      </c>
      <c r="L393" s="43">
        <f>IFERROR(F393/F357-1,0)</f>
        <v/>
      </c>
      <c r="M393" s="13">
        <f>IF(L393&gt;=0,"Green",IF(ABS(L393)&lt;='00_Readme'!$B$14,"Amber","Red"))</f>
        <v/>
      </c>
    </row>
    <row r="394">
      <c r="A394" s="27" t="inlineStr">
        <is>
          <t>Nov 2026</t>
        </is>
      </c>
      <c r="B394" s="27" t="inlineStr">
        <is>
          <t>Jawa Timur</t>
        </is>
      </c>
      <c r="C394" s="27" t="inlineStr">
        <is>
          <t>General Trade</t>
        </is>
      </c>
      <c r="D394" s="27" t="inlineStr">
        <is>
          <t>Home Care</t>
        </is>
      </c>
      <c r="E394" s="28" t="n">
        <v>786</v>
      </c>
      <c r="F394" s="44" t="n">
        <v>214</v>
      </c>
      <c r="G394" s="38" t="n">
        <v>0.71</v>
      </c>
      <c r="H394" s="38" t="n">
        <v>0.8099999999999999</v>
      </c>
      <c r="I394" s="38" t="n">
        <v>0.08</v>
      </c>
      <c r="J394" s="44" t="n">
        <v>5</v>
      </c>
      <c r="K394" s="44" t="n">
        <v>50</v>
      </c>
      <c r="L394" s="43">
        <f>IFERROR(F394/F358-1,0)</f>
        <v/>
      </c>
      <c r="M394" s="13">
        <f>IF(L394&gt;=0,"Green",IF(ABS(L394)&lt;='00_Readme'!$B$14,"Amber","Red"))</f>
        <v/>
      </c>
    </row>
    <row r="395">
      <c r="A395" s="27" t="inlineStr">
        <is>
          <t>Nov 2026</t>
        </is>
      </c>
      <c r="B395" s="27" t="inlineStr">
        <is>
          <t>Jawa Timur</t>
        </is>
      </c>
      <c r="C395" s="27" t="inlineStr">
        <is>
          <t>General Trade</t>
        </is>
      </c>
      <c r="D395" s="27" t="inlineStr">
        <is>
          <t>Beverages</t>
        </is>
      </c>
      <c r="E395" s="28" t="n">
        <v>824</v>
      </c>
      <c r="F395" s="44" t="n">
        <v>230</v>
      </c>
      <c r="G395" s="38" t="n">
        <v>0.71</v>
      </c>
      <c r="H395" s="38" t="n">
        <v>0.82</v>
      </c>
      <c r="I395" s="38" t="n">
        <v>0.08</v>
      </c>
      <c r="J395" s="44" t="n">
        <v>6</v>
      </c>
      <c r="K395" s="44" t="n">
        <v>58</v>
      </c>
      <c r="L395" s="43">
        <f>IFERROR(F395/F359-1,0)</f>
        <v/>
      </c>
      <c r="M395" s="13">
        <f>IF(L395&gt;=0,"Green",IF(ABS(L395)&lt;='00_Readme'!$B$14,"Amber","Red"))</f>
        <v/>
      </c>
    </row>
    <row r="396">
      <c r="A396" s="27" t="inlineStr">
        <is>
          <t>Nov 2026</t>
        </is>
      </c>
      <c r="B396" s="27" t="inlineStr">
        <is>
          <t>Jawa Timur</t>
        </is>
      </c>
      <c r="C396" s="27" t="inlineStr">
        <is>
          <t>Modern Trade</t>
        </is>
      </c>
      <c r="D396" s="27" t="inlineStr">
        <is>
          <t>Personal Care</t>
        </is>
      </c>
      <c r="E396" s="28" t="n">
        <v>823</v>
      </c>
      <c r="F396" s="44" t="n">
        <v>226</v>
      </c>
      <c r="G396" s="38" t="n">
        <v>0.75</v>
      </c>
      <c r="H396" s="38" t="n">
        <v>0.84</v>
      </c>
      <c r="I396" s="38" t="n">
        <v>0.16</v>
      </c>
      <c r="J396" s="44" t="n">
        <v>7</v>
      </c>
      <c r="K396" s="44" t="n">
        <v>50</v>
      </c>
      <c r="L396" s="43">
        <f>IFERROR(F396/F360-1,0)</f>
        <v/>
      </c>
      <c r="M396" s="13">
        <f>IF(L396&gt;=0,"Green",IF(ABS(L396)&lt;='00_Readme'!$B$14,"Amber","Red"))</f>
        <v/>
      </c>
    </row>
    <row r="397">
      <c r="A397" s="27" t="inlineStr">
        <is>
          <t>Nov 2026</t>
        </is>
      </c>
      <c r="B397" s="27" t="inlineStr">
        <is>
          <t>Jawa Timur</t>
        </is>
      </c>
      <c r="C397" s="27" t="inlineStr">
        <is>
          <t>Modern Trade</t>
        </is>
      </c>
      <c r="D397" s="27" t="inlineStr">
        <is>
          <t>Home Care</t>
        </is>
      </c>
      <c r="E397" s="28" t="n">
        <v>861</v>
      </c>
      <c r="F397" s="44" t="n">
        <v>242</v>
      </c>
      <c r="G397" s="38" t="n">
        <v>0.75</v>
      </c>
      <c r="H397" s="38" t="n">
        <v>0.85</v>
      </c>
      <c r="I397" s="38" t="n">
        <v>0.16</v>
      </c>
      <c r="J397" s="44" t="n">
        <v>8</v>
      </c>
      <c r="K397" s="44" t="n">
        <v>57</v>
      </c>
      <c r="L397" s="43">
        <f>IFERROR(F397/F361-1,0)</f>
        <v/>
      </c>
      <c r="M397" s="13">
        <f>IF(L397&gt;=0,"Green",IF(ABS(L397)&lt;='00_Readme'!$B$14,"Amber","Red"))</f>
        <v/>
      </c>
    </row>
    <row r="398">
      <c r="A398" s="27" t="inlineStr">
        <is>
          <t>Nov 2026</t>
        </is>
      </c>
      <c r="B398" s="27" t="inlineStr">
        <is>
          <t>Jawa Timur</t>
        </is>
      </c>
      <c r="C398" s="27" t="inlineStr">
        <is>
          <t>Modern Trade</t>
        </is>
      </c>
      <c r="D398" s="27" t="inlineStr">
        <is>
          <t>Beverages</t>
        </is>
      </c>
      <c r="E398" s="28" t="n">
        <v>899</v>
      </c>
      <c r="F398" s="44" t="n">
        <v>258</v>
      </c>
      <c r="G398" s="38" t="n">
        <v>0.75</v>
      </c>
      <c r="H398" s="38" t="n">
        <v>0.86</v>
      </c>
      <c r="I398" s="38" t="n">
        <v>0.16</v>
      </c>
      <c r="J398" s="44" t="n">
        <v>9</v>
      </c>
      <c r="K398" s="44" t="n">
        <v>64</v>
      </c>
      <c r="L398" s="43">
        <f>IFERROR(F398/F362-1,0)</f>
        <v/>
      </c>
      <c r="M398" s="13">
        <f>IF(L398&gt;=0,"Green",IF(ABS(L398)&lt;='00_Readme'!$B$14,"Amber","Red"))</f>
        <v/>
      </c>
    </row>
    <row r="399">
      <c r="A399" s="27" t="inlineStr">
        <is>
          <t>Nov 2026</t>
        </is>
      </c>
      <c r="B399" s="27" t="inlineStr">
        <is>
          <t>Jawa Timur</t>
        </is>
      </c>
      <c r="C399" s="27" t="inlineStr">
        <is>
          <t>E-commerce</t>
        </is>
      </c>
      <c r="D399" s="27" t="inlineStr">
        <is>
          <t>Personal Care</t>
        </is>
      </c>
      <c r="E399" s="28" t="n">
        <v>898</v>
      </c>
      <c r="F399" s="44" t="n">
        <v>254</v>
      </c>
      <c r="G399" s="38" t="n">
        <v>0.7899999999999999</v>
      </c>
      <c r="H399" s="38" t="n">
        <v>0.8799999999999999</v>
      </c>
      <c r="I399" s="38" t="n">
        <v>0.24</v>
      </c>
      <c r="J399" s="44" t="n">
        <v>10</v>
      </c>
      <c r="K399" s="44" t="n">
        <v>56</v>
      </c>
      <c r="L399" s="43">
        <f>IFERROR(F399/F363-1,0)</f>
        <v/>
      </c>
      <c r="M399" s="13">
        <f>IF(L399&gt;=0,"Green",IF(ABS(L399)&lt;='00_Readme'!$B$14,"Amber","Red"))</f>
        <v/>
      </c>
    </row>
    <row r="400">
      <c r="A400" s="27" t="inlineStr">
        <is>
          <t>Nov 2026</t>
        </is>
      </c>
      <c r="B400" s="27" t="inlineStr">
        <is>
          <t>Jawa Timur</t>
        </is>
      </c>
      <c r="C400" s="27" t="inlineStr">
        <is>
          <t>E-commerce</t>
        </is>
      </c>
      <c r="D400" s="27" t="inlineStr">
        <is>
          <t>Home Care</t>
        </is>
      </c>
      <c r="E400" s="28" t="n">
        <v>936</v>
      </c>
      <c r="F400" s="44" t="n">
        <v>270</v>
      </c>
      <c r="G400" s="38" t="n">
        <v>0.7899999999999999</v>
      </c>
      <c r="H400" s="38" t="n">
        <v>0.8899999999999999</v>
      </c>
      <c r="I400" s="38" t="n">
        <v>0.24</v>
      </c>
      <c r="J400" s="44" t="n">
        <v>11</v>
      </c>
      <c r="K400" s="44" t="n">
        <v>63</v>
      </c>
      <c r="L400" s="43">
        <f>IFERROR(F400/F364-1,0)</f>
        <v/>
      </c>
      <c r="M400" s="13">
        <f>IF(L400&gt;=0,"Green",IF(ABS(L400)&lt;='00_Readme'!$B$14,"Amber","Red"))</f>
        <v/>
      </c>
    </row>
    <row r="401">
      <c r="A401" s="27" t="inlineStr">
        <is>
          <t>Nov 2026</t>
        </is>
      </c>
      <c r="B401" s="27" t="inlineStr">
        <is>
          <t>Jawa Timur</t>
        </is>
      </c>
      <c r="C401" s="27" t="inlineStr">
        <is>
          <t>E-commerce</t>
        </is>
      </c>
      <c r="D401" s="27" t="inlineStr">
        <is>
          <t>Beverages</t>
        </is>
      </c>
      <c r="E401" s="28" t="n">
        <v>974</v>
      </c>
      <c r="F401" s="44" t="n">
        <v>286</v>
      </c>
      <c r="G401" s="38" t="n">
        <v>0.7899999999999999</v>
      </c>
      <c r="H401" s="38" t="n">
        <v>0.8999999999999999</v>
      </c>
      <c r="I401" s="38" t="n">
        <v>0.24</v>
      </c>
      <c r="J401" s="44" t="n">
        <v>12</v>
      </c>
      <c r="K401" s="44" t="n">
        <v>72</v>
      </c>
      <c r="L401" s="43">
        <f>IFERROR(F401/F365-1,0)</f>
        <v/>
      </c>
      <c r="M401" s="13">
        <f>IF(L401&gt;=0,"Green",IF(ABS(L401)&lt;='00_Readme'!$B$14,"Amber","Red"))</f>
        <v/>
      </c>
    </row>
    <row r="402">
      <c r="A402" s="27" t="inlineStr">
        <is>
          <t>Dec 2026</t>
        </is>
      </c>
      <c r="B402" s="27" t="inlineStr">
        <is>
          <t>Jabodetabek</t>
        </is>
      </c>
      <c r="C402" s="27" t="inlineStr">
        <is>
          <t>General Trade</t>
        </is>
      </c>
      <c r="D402" s="27" t="inlineStr">
        <is>
          <t>Personal Care</t>
        </is>
      </c>
      <c r="E402" s="28" t="n">
        <v>630</v>
      </c>
      <c r="F402" s="44" t="n">
        <v>171</v>
      </c>
      <c r="G402" s="38" t="n">
        <v>0.54</v>
      </c>
      <c r="H402" s="38" t="n">
        <v>0.63</v>
      </c>
      <c r="I402" s="38" t="n">
        <v>0.09</v>
      </c>
      <c r="J402" s="44" t="n">
        <v>4</v>
      </c>
      <c r="K402" s="44" t="n">
        <v>38</v>
      </c>
      <c r="L402" s="43">
        <f>IFERROR(F402/F366-1,0)</f>
        <v/>
      </c>
      <c r="M402" s="13">
        <f>IF(L402&gt;=0,"Green",IF(ABS(L402)&lt;='00_Readme'!$B$14,"Amber","Red"))</f>
        <v/>
      </c>
    </row>
    <row r="403">
      <c r="A403" s="27" t="inlineStr">
        <is>
          <t>Dec 2026</t>
        </is>
      </c>
      <c r="B403" s="27" t="inlineStr">
        <is>
          <t>Jabodetabek</t>
        </is>
      </c>
      <c r="C403" s="27" t="inlineStr">
        <is>
          <t>General Trade</t>
        </is>
      </c>
      <c r="D403" s="27" t="inlineStr">
        <is>
          <t>Home Care</t>
        </is>
      </c>
      <c r="E403" s="28" t="n">
        <v>668</v>
      </c>
      <c r="F403" s="44" t="n">
        <v>187</v>
      </c>
      <c r="G403" s="38" t="n">
        <v>0.54</v>
      </c>
      <c r="H403" s="38" t="n">
        <v>0.64</v>
      </c>
      <c r="I403" s="38" t="n">
        <v>0.09</v>
      </c>
      <c r="J403" s="44" t="n">
        <v>5</v>
      </c>
      <c r="K403" s="44" t="n">
        <v>44</v>
      </c>
      <c r="L403" s="43">
        <f>IFERROR(F403/F367-1,0)</f>
        <v/>
      </c>
      <c r="M403" s="13">
        <f>IF(L403&gt;=0,"Green",IF(ABS(L403)&lt;='00_Readme'!$B$14,"Amber","Red"))</f>
        <v/>
      </c>
    </row>
    <row r="404">
      <c r="A404" s="27" t="inlineStr">
        <is>
          <t>Dec 2026</t>
        </is>
      </c>
      <c r="B404" s="27" t="inlineStr">
        <is>
          <t>Jabodetabek</t>
        </is>
      </c>
      <c r="C404" s="27" t="inlineStr">
        <is>
          <t>General Trade</t>
        </is>
      </c>
      <c r="D404" s="27" t="inlineStr">
        <is>
          <t>Beverages</t>
        </is>
      </c>
      <c r="E404" s="28" t="n">
        <v>706</v>
      </c>
      <c r="F404" s="44" t="n">
        <v>203</v>
      </c>
      <c r="G404" s="38" t="n">
        <v>0.54</v>
      </c>
      <c r="H404" s="38" t="n">
        <v>0.65</v>
      </c>
      <c r="I404" s="38" t="n">
        <v>0.09</v>
      </c>
      <c r="J404" s="44" t="n">
        <v>5</v>
      </c>
      <c r="K404" s="44" t="n">
        <v>51</v>
      </c>
      <c r="L404" s="43">
        <f>IFERROR(F404/F368-1,0)</f>
        <v/>
      </c>
      <c r="M404" s="13">
        <f>IF(L404&gt;=0,"Green",IF(ABS(L404)&lt;='00_Readme'!$B$14,"Amber","Red"))</f>
        <v/>
      </c>
    </row>
    <row r="405">
      <c r="A405" s="27" t="inlineStr">
        <is>
          <t>Dec 2026</t>
        </is>
      </c>
      <c r="B405" s="27" t="inlineStr">
        <is>
          <t>Jabodetabek</t>
        </is>
      </c>
      <c r="C405" s="27" t="inlineStr">
        <is>
          <t>Modern Trade</t>
        </is>
      </c>
      <c r="D405" s="27" t="inlineStr">
        <is>
          <t>Personal Care</t>
        </is>
      </c>
      <c r="E405" s="28" t="n">
        <v>705</v>
      </c>
      <c r="F405" s="44" t="n">
        <v>199</v>
      </c>
      <c r="G405" s="38" t="n">
        <v>0.5800000000000001</v>
      </c>
      <c r="H405" s="38" t="n">
        <v>0.67</v>
      </c>
      <c r="I405" s="38" t="n">
        <v>0.17</v>
      </c>
      <c r="J405" s="44" t="n">
        <v>7</v>
      </c>
      <c r="K405" s="44" t="n">
        <v>44</v>
      </c>
      <c r="L405" s="43">
        <f>IFERROR(F405/F369-1,0)</f>
        <v/>
      </c>
      <c r="M405" s="13">
        <f>IF(L405&gt;=0,"Green",IF(ABS(L405)&lt;='00_Readme'!$B$14,"Amber","Red"))</f>
        <v/>
      </c>
    </row>
    <row r="406">
      <c r="A406" s="27" t="inlineStr">
        <is>
          <t>Dec 2026</t>
        </is>
      </c>
      <c r="B406" s="27" t="inlineStr">
        <is>
          <t>Jabodetabek</t>
        </is>
      </c>
      <c r="C406" s="27" t="inlineStr">
        <is>
          <t>Modern Trade</t>
        </is>
      </c>
      <c r="D406" s="27" t="inlineStr">
        <is>
          <t>Home Care</t>
        </is>
      </c>
      <c r="E406" s="28" t="n">
        <v>743</v>
      </c>
      <c r="F406" s="44" t="n">
        <v>215</v>
      </c>
      <c r="G406" s="38" t="n">
        <v>0.5800000000000001</v>
      </c>
      <c r="H406" s="38" t="n">
        <v>0.68</v>
      </c>
      <c r="I406" s="38" t="n">
        <v>0.17</v>
      </c>
      <c r="J406" s="44" t="n">
        <v>7</v>
      </c>
      <c r="K406" s="44" t="n">
        <v>51</v>
      </c>
      <c r="L406" s="43">
        <f>IFERROR(F406/F370-1,0)</f>
        <v/>
      </c>
      <c r="M406" s="13">
        <f>IF(L406&gt;=0,"Green",IF(ABS(L406)&lt;='00_Readme'!$B$14,"Amber","Red"))</f>
        <v/>
      </c>
    </row>
    <row r="407">
      <c r="A407" s="27" t="inlineStr">
        <is>
          <t>Dec 2026</t>
        </is>
      </c>
      <c r="B407" s="27" t="inlineStr">
        <is>
          <t>Jabodetabek</t>
        </is>
      </c>
      <c r="C407" s="27" t="inlineStr">
        <is>
          <t>Modern Trade</t>
        </is>
      </c>
      <c r="D407" s="27" t="inlineStr">
        <is>
          <t>Beverages</t>
        </is>
      </c>
      <c r="E407" s="28" t="n">
        <v>781</v>
      </c>
      <c r="F407" s="44" t="n">
        <v>231</v>
      </c>
      <c r="G407" s="38" t="n">
        <v>0.5800000000000001</v>
      </c>
      <c r="H407" s="38" t="n">
        <v>0.6900000000000001</v>
      </c>
      <c r="I407" s="38" t="n">
        <v>0.17</v>
      </c>
      <c r="J407" s="44" t="n">
        <v>8</v>
      </c>
      <c r="K407" s="44" t="n">
        <v>58</v>
      </c>
      <c r="L407" s="43">
        <f>IFERROR(F407/F371-1,0)</f>
        <v/>
      </c>
      <c r="M407" s="13">
        <f>IF(L407&gt;=0,"Green",IF(ABS(L407)&lt;='00_Readme'!$B$14,"Amber","Red"))</f>
        <v/>
      </c>
    </row>
    <row r="408">
      <c r="A408" s="27" t="inlineStr">
        <is>
          <t>Dec 2026</t>
        </is>
      </c>
      <c r="B408" s="27" t="inlineStr">
        <is>
          <t>Jabodetabek</t>
        </is>
      </c>
      <c r="C408" s="27" t="inlineStr">
        <is>
          <t>E-commerce</t>
        </is>
      </c>
      <c r="D408" s="27" t="inlineStr">
        <is>
          <t>Personal Care</t>
        </is>
      </c>
      <c r="E408" s="28" t="n">
        <v>780</v>
      </c>
      <c r="F408" s="44" t="n">
        <v>227</v>
      </c>
      <c r="G408" s="38" t="n">
        <v>0.62</v>
      </c>
      <c r="H408" s="38" t="n">
        <v>0.71</v>
      </c>
      <c r="I408" s="38" t="n">
        <v>0.25</v>
      </c>
      <c r="J408" s="44" t="n">
        <v>9</v>
      </c>
      <c r="K408" s="44" t="n">
        <v>50</v>
      </c>
      <c r="L408" s="43">
        <f>IFERROR(F408/F372-1,0)</f>
        <v/>
      </c>
      <c r="M408" s="13">
        <f>IF(L408&gt;=0,"Green",IF(ABS(L408)&lt;='00_Readme'!$B$14,"Amber","Red"))</f>
        <v/>
      </c>
    </row>
    <row r="409">
      <c r="A409" s="27" t="inlineStr">
        <is>
          <t>Dec 2026</t>
        </is>
      </c>
      <c r="B409" s="27" t="inlineStr">
        <is>
          <t>Jabodetabek</t>
        </is>
      </c>
      <c r="C409" s="27" t="inlineStr">
        <is>
          <t>E-commerce</t>
        </is>
      </c>
      <c r="D409" s="27" t="inlineStr">
        <is>
          <t>Home Care</t>
        </is>
      </c>
      <c r="E409" s="28" t="n">
        <v>818</v>
      </c>
      <c r="F409" s="44" t="n">
        <v>243</v>
      </c>
      <c r="G409" s="38" t="n">
        <v>0.62</v>
      </c>
      <c r="H409" s="38" t="n">
        <v>0.72</v>
      </c>
      <c r="I409" s="38" t="n">
        <v>0.25</v>
      </c>
      <c r="J409" s="44" t="n">
        <v>10</v>
      </c>
      <c r="K409" s="44" t="n">
        <v>57</v>
      </c>
      <c r="L409" s="43">
        <f>IFERROR(F409/F373-1,0)</f>
        <v/>
      </c>
      <c r="M409" s="13">
        <f>IF(L409&gt;=0,"Green",IF(ABS(L409)&lt;='00_Readme'!$B$14,"Amber","Red"))</f>
        <v/>
      </c>
    </row>
    <row r="410">
      <c r="A410" s="27" t="inlineStr">
        <is>
          <t>Dec 2026</t>
        </is>
      </c>
      <c r="B410" s="27" t="inlineStr">
        <is>
          <t>Jabodetabek</t>
        </is>
      </c>
      <c r="C410" s="27" t="inlineStr">
        <is>
          <t>E-commerce</t>
        </is>
      </c>
      <c r="D410" s="27" t="inlineStr">
        <is>
          <t>Beverages</t>
        </is>
      </c>
      <c r="E410" s="28" t="n">
        <v>856</v>
      </c>
      <c r="F410" s="44" t="n">
        <v>259</v>
      </c>
      <c r="G410" s="38" t="n">
        <v>0.62</v>
      </c>
      <c r="H410" s="38" t="n">
        <v>0.73</v>
      </c>
      <c r="I410" s="38" t="n">
        <v>0.25</v>
      </c>
      <c r="J410" s="44" t="n">
        <v>11</v>
      </c>
      <c r="K410" s="44" t="n">
        <v>65</v>
      </c>
      <c r="L410" s="43">
        <f>IFERROR(F410/F374-1,0)</f>
        <v/>
      </c>
      <c r="M410" s="13">
        <f>IF(L410&gt;=0,"Green",IF(ABS(L410)&lt;='00_Readme'!$B$14,"Amber","Red"))</f>
        <v/>
      </c>
    </row>
    <row r="411">
      <c r="A411" s="27" t="inlineStr">
        <is>
          <t>Dec 2026</t>
        </is>
      </c>
      <c r="B411" s="27" t="inlineStr">
        <is>
          <t>Jawa Barat</t>
        </is>
      </c>
      <c r="C411" s="27" t="inlineStr">
        <is>
          <t>General Trade</t>
        </is>
      </c>
      <c r="D411" s="27" t="inlineStr">
        <is>
          <t>Personal Care</t>
        </is>
      </c>
      <c r="E411" s="28" t="n">
        <v>682</v>
      </c>
      <c r="F411" s="44" t="n">
        <v>184</v>
      </c>
      <c r="G411" s="38" t="n">
        <v>0.6000000000000001</v>
      </c>
      <c r="H411" s="38" t="n">
        <v>0.6900000000000001</v>
      </c>
      <c r="I411" s="38" t="n">
        <v>0.09</v>
      </c>
      <c r="J411" s="44" t="n">
        <v>5</v>
      </c>
      <c r="K411" s="44" t="n">
        <v>40</v>
      </c>
      <c r="L411" s="43">
        <f>IFERROR(F411/F375-1,0)</f>
        <v/>
      </c>
      <c r="M411" s="13">
        <f>IF(L411&gt;=0,"Green",IF(ABS(L411)&lt;='00_Readme'!$B$14,"Amber","Red"))</f>
        <v/>
      </c>
    </row>
    <row r="412">
      <c r="A412" s="27" t="inlineStr">
        <is>
          <t>Dec 2026</t>
        </is>
      </c>
      <c r="B412" s="27" t="inlineStr">
        <is>
          <t>Jawa Barat</t>
        </is>
      </c>
      <c r="C412" s="27" t="inlineStr">
        <is>
          <t>General Trade</t>
        </is>
      </c>
      <c r="D412" s="27" t="inlineStr">
        <is>
          <t>Home Care</t>
        </is>
      </c>
      <c r="E412" s="28" t="n">
        <v>720</v>
      </c>
      <c r="F412" s="44" t="n">
        <v>200</v>
      </c>
      <c r="G412" s="38" t="n">
        <v>0.6000000000000001</v>
      </c>
      <c r="H412" s="38" t="n">
        <v>0.7000000000000001</v>
      </c>
      <c r="I412" s="38" t="n">
        <v>0.09</v>
      </c>
      <c r="J412" s="44" t="n">
        <v>5</v>
      </c>
      <c r="K412" s="44" t="n">
        <v>47</v>
      </c>
      <c r="L412" s="43">
        <f>IFERROR(F412/F376-1,0)</f>
        <v/>
      </c>
      <c r="M412" s="13">
        <f>IF(L412&gt;=0,"Green",IF(ABS(L412)&lt;='00_Readme'!$B$14,"Amber","Red"))</f>
        <v/>
      </c>
    </row>
    <row r="413">
      <c r="A413" s="27" t="inlineStr">
        <is>
          <t>Dec 2026</t>
        </is>
      </c>
      <c r="B413" s="27" t="inlineStr">
        <is>
          <t>Jawa Barat</t>
        </is>
      </c>
      <c r="C413" s="27" t="inlineStr">
        <is>
          <t>General Trade</t>
        </is>
      </c>
      <c r="D413" s="27" t="inlineStr">
        <is>
          <t>Beverages</t>
        </is>
      </c>
      <c r="E413" s="28" t="n">
        <v>758</v>
      </c>
      <c r="F413" s="44" t="n">
        <v>216</v>
      </c>
      <c r="G413" s="38" t="n">
        <v>0.6000000000000001</v>
      </c>
      <c r="H413" s="38" t="n">
        <v>0.7100000000000001</v>
      </c>
      <c r="I413" s="38" t="n">
        <v>0.09</v>
      </c>
      <c r="J413" s="44" t="n">
        <v>5</v>
      </c>
      <c r="K413" s="44" t="n">
        <v>54</v>
      </c>
      <c r="L413" s="43">
        <f>IFERROR(F413/F377-1,0)</f>
        <v/>
      </c>
      <c r="M413" s="13">
        <f>IF(L413&gt;=0,"Green",IF(ABS(L413)&lt;='00_Readme'!$B$14,"Amber","Red"))</f>
        <v/>
      </c>
    </row>
    <row r="414">
      <c r="A414" s="27" t="inlineStr">
        <is>
          <t>Dec 2026</t>
        </is>
      </c>
      <c r="B414" s="27" t="inlineStr">
        <is>
          <t>Jawa Barat</t>
        </is>
      </c>
      <c r="C414" s="27" t="inlineStr">
        <is>
          <t>Modern Trade</t>
        </is>
      </c>
      <c r="D414" s="27" t="inlineStr">
        <is>
          <t>Personal Care</t>
        </is>
      </c>
      <c r="E414" s="28" t="n">
        <v>757</v>
      </c>
      <c r="F414" s="44" t="n">
        <v>212</v>
      </c>
      <c r="G414" s="38" t="n">
        <v>0.6400000000000001</v>
      </c>
      <c r="H414" s="38" t="n">
        <v>0.7300000000000001</v>
      </c>
      <c r="I414" s="38" t="n">
        <v>0.17</v>
      </c>
      <c r="J414" s="44" t="n">
        <v>7</v>
      </c>
      <c r="K414" s="44" t="n">
        <v>47</v>
      </c>
      <c r="L414" s="43">
        <f>IFERROR(F414/F378-1,0)</f>
        <v/>
      </c>
      <c r="M414" s="13">
        <f>IF(L414&gt;=0,"Green",IF(ABS(L414)&lt;='00_Readme'!$B$14,"Amber","Red"))</f>
        <v/>
      </c>
    </row>
    <row r="415">
      <c r="A415" s="27" t="inlineStr">
        <is>
          <t>Dec 2026</t>
        </is>
      </c>
      <c r="B415" s="27" t="inlineStr">
        <is>
          <t>Jawa Barat</t>
        </is>
      </c>
      <c r="C415" s="27" t="inlineStr">
        <is>
          <t>Modern Trade</t>
        </is>
      </c>
      <c r="D415" s="27" t="inlineStr">
        <is>
          <t>Home Care</t>
        </is>
      </c>
      <c r="E415" s="28" t="n">
        <v>795</v>
      </c>
      <c r="F415" s="44" t="n">
        <v>228</v>
      </c>
      <c r="G415" s="38" t="n">
        <v>0.6400000000000001</v>
      </c>
      <c r="H415" s="38" t="n">
        <v>0.7400000000000001</v>
      </c>
      <c r="I415" s="38" t="n">
        <v>0.17</v>
      </c>
      <c r="J415" s="44" t="n">
        <v>8</v>
      </c>
      <c r="K415" s="44" t="n">
        <v>54</v>
      </c>
      <c r="L415" s="43">
        <f>IFERROR(F415/F379-1,0)</f>
        <v/>
      </c>
      <c r="M415" s="13">
        <f>IF(L415&gt;=0,"Green",IF(ABS(L415)&lt;='00_Readme'!$B$14,"Amber","Red"))</f>
        <v/>
      </c>
    </row>
    <row r="416">
      <c r="A416" s="27" t="inlineStr">
        <is>
          <t>Dec 2026</t>
        </is>
      </c>
      <c r="B416" s="27" t="inlineStr">
        <is>
          <t>Jawa Barat</t>
        </is>
      </c>
      <c r="C416" s="27" t="inlineStr">
        <is>
          <t>Modern Trade</t>
        </is>
      </c>
      <c r="D416" s="27" t="inlineStr">
        <is>
          <t>Beverages</t>
        </is>
      </c>
      <c r="E416" s="28" t="n">
        <v>833</v>
      </c>
      <c r="F416" s="44" t="n">
        <v>244</v>
      </c>
      <c r="G416" s="38" t="n">
        <v>0.6400000000000001</v>
      </c>
      <c r="H416" s="38" t="n">
        <v>0.7500000000000001</v>
      </c>
      <c r="I416" s="38" t="n">
        <v>0.17</v>
      </c>
      <c r="J416" s="44" t="n">
        <v>8</v>
      </c>
      <c r="K416" s="44" t="n">
        <v>61</v>
      </c>
      <c r="L416" s="43">
        <f>IFERROR(F416/F380-1,0)</f>
        <v/>
      </c>
      <c r="M416" s="13">
        <f>IF(L416&gt;=0,"Green",IF(ABS(L416)&lt;='00_Readme'!$B$14,"Amber","Red"))</f>
        <v/>
      </c>
    </row>
    <row r="417">
      <c r="A417" s="27" t="inlineStr">
        <is>
          <t>Dec 2026</t>
        </is>
      </c>
      <c r="B417" s="27" t="inlineStr">
        <is>
          <t>Jawa Barat</t>
        </is>
      </c>
      <c r="C417" s="27" t="inlineStr">
        <is>
          <t>E-commerce</t>
        </is>
      </c>
      <c r="D417" s="27" t="inlineStr">
        <is>
          <t>Personal Care</t>
        </is>
      </c>
      <c r="E417" s="28" t="n">
        <v>832</v>
      </c>
      <c r="F417" s="44" t="n">
        <v>240</v>
      </c>
      <c r="G417" s="38" t="n">
        <v>0.68</v>
      </c>
      <c r="H417" s="38" t="n">
        <v>0.77</v>
      </c>
      <c r="I417" s="38" t="n">
        <v>0.25</v>
      </c>
      <c r="J417" s="44" t="n">
        <v>10</v>
      </c>
      <c r="K417" s="44" t="n">
        <v>53</v>
      </c>
      <c r="L417" s="43">
        <f>IFERROR(F417/F381-1,0)</f>
        <v/>
      </c>
      <c r="M417" s="13">
        <f>IF(L417&gt;=0,"Green",IF(ABS(L417)&lt;='00_Readme'!$B$14,"Amber","Red"))</f>
        <v/>
      </c>
    </row>
    <row r="418">
      <c r="A418" s="27" t="inlineStr">
        <is>
          <t>Dec 2026</t>
        </is>
      </c>
      <c r="B418" s="27" t="inlineStr">
        <is>
          <t>Jawa Barat</t>
        </is>
      </c>
      <c r="C418" s="27" t="inlineStr">
        <is>
          <t>E-commerce</t>
        </is>
      </c>
      <c r="D418" s="27" t="inlineStr">
        <is>
          <t>Home Care</t>
        </is>
      </c>
      <c r="E418" s="28" t="n">
        <v>870</v>
      </c>
      <c r="F418" s="44" t="n">
        <v>256</v>
      </c>
      <c r="G418" s="38" t="n">
        <v>0.68</v>
      </c>
      <c r="H418" s="38" t="n">
        <v>0.78</v>
      </c>
      <c r="I418" s="38" t="n">
        <v>0.25</v>
      </c>
      <c r="J418" s="44" t="n">
        <v>10</v>
      </c>
      <c r="K418" s="44" t="n">
        <v>60</v>
      </c>
      <c r="L418" s="43">
        <f>IFERROR(F418/F382-1,0)</f>
        <v/>
      </c>
      <c r="M418" s="13">
        <f>IF(L418&gt;=0,"Green",IF(ABS(L418)&lt;='00_Readme'!$B$14,"Amber","Red"))</f>
        <v/>
      </c>
    </row>
    <row r="419">
      <c r="A419" s="27" t="inlineStr">
        <is>
          <t>Dec 2026</t>
        </is>
      </c>
      <c r="B419" s="27" t="inlineStr">
        <is>
          <t>Jawa Barat</t>
        </is>
      </c>
      <c r="C419" s="27" t="inlineStr">
        <is>
          <t>E-commerce</t>
        </is>
      </c>
      <c r="D419" s="27" t="inlineStr">
        <is>
          <t>Beverages</t>
        </is>
      </c>
      <c r="E419" s="28" t="n">
        <v>908</v>
      </c>
      <c r="F419" s="44" t="n">
        <v>272</v>
      </c>
      <c r="G419" s="38" t="n">
        <v>0.68</v>
      </c>
      <c r="H419" s="38" t="n">
        <v>0.79</v>
      </c>
      <c r="I419" s="38" t="n">
        <v>0.25</v>
      </c>
      <c r="J419" s="44" t="n">
        <v>11</v>
      </c>
      <c r="K419" s="44" t="n">
        <v>68</v>
      </c>
      <c r="L419" s="43">
        <f>IFERROR(F419/F383-1,0)</f>
        <v/>
      </c>
      <c r="M419" s="13">
        <f>IF(L419&gt;=0,"Green",IF(ABS(L419)&lt;='00_Readme'!$B$14,"Amber","Red"))</f>
        <v/>
      </c>
    </row>
    <row r="420">
      <c r="A420" s="27" t="inlineStr">
        <is>
          <t>Dec 2026</t>
        </is>
      </c>
      <c r="B420" s="27" t="inlineStr">
        <is>
          <t>Jawa Tengah</t>
        </is>
      </c>
      <c r="C420" s="27" t="inlineStr">
        <is>
          <t>General Trade</t>
        </is>
      </c>
      <c r="D420" s="27" t="inlineStr">
        <is>
          <t>Personal Care</t>
        </is>
      </c>
      <c r="E420" s="28" t="n">
        <v>734</v>
      </c>
      <c r="F420" s="44" t="n">
        <v>197</v>
      </c>
      <c r="G420" s="38" t="n">
        <v>0.66</v>
      </c>
      <c r="H420" s="38" t="n">
        <v>0.75</v>
      </c>
      <c r="I420" s="38" t="n">
        <v>0.09</v>
      </c>
      <c r="J420" s="44" t="n">
        <v>5</v>
      </c>
      <c r="K420" s="44" t="n">
        <v>43</v>
      </c>
      <c r="L420" s="43">
        <f>IFERROR(F420/F384-1,0)</f>
        <v/>
      </c>
      <c r="M420" s="13">
        <f>IF(L420&gt;=0,"Green",IF(ABS(L420)&lt;='00_Readme'!$B$14,"Amber","Red"))</f>
        <v/>
      </c>
    </row>
    <row r="421">
      <c r="A421" s="27" t="inlineStr">
        <is>
          <t>Dec 2026</t>
        </is>
      </c>
      <c r="B421" s="27" t="inlineStr">
        <is>
          <t>Jawa Tengah</t>
        </is>
      </c>
      <c r="C421" s="27" t="inlineStr">
        <is>
          <t>General Trade</t>
        </is>
      </c>
      <c r="D421" s="27" t="inlineStr">
        <is>
          <t>Home Care</t>
        </is>
      </c>
      <c r="E421" s="28" t="n">
        <v>772</v>
      </c>
      <c r="F421" s="44" t="n">
        <v>213</v>
      </c>
      <c r="G421" s="38" t="n">
        <v>0.66</v>
      </c>
      <c r="H421" s="38" t="n">
        <v>0.76</v>
      </c>
      <c r="I421" s="38" t="n">
        <v>0.09</v>
      </c>
      <c r="J421" s="44" t="n">
        <v>5</v>
      </c>
      <c r="K421" s="44" t="n">
        <v>50</v>
      </c>
      <c r="L421" s="43">
        <f>IFERROR(F421/F385-1,0)</f>
        <v/>
      </c>
      <c r="M421" s="13">
        <f>IF(L421&gt;=0,"Green",IF(ABS(L421)&lt;='00_Readme'!$B$14,"Amber","Red"))</f>
        <v/>
      </c>
    </row>
    <row r="422">
      <c r="A422" s="27" t="inlineStr">
        <is>
          <t>Dec 2026</t>
        </is>
      </c>
      <c r="B422" s="27" t="inlineStr">
        <is>
          <t>Jawa Tengah</t>
        </is>
      </c>
      <c r="C422" s="27" t="inlineStr">
        <is>
          <t>General Trade</t>
        </is>
      </c>
      <c r="D422" s="27" t="inlineStr">
        <is>
          <t>Beverages</t>
        </is>
      </c>
      <c r="E422" s="28" t="n">
        <v>810</v>
      </c>
      <c r="F422" s="44" t="n">
        <v>229</v>
      </c>
      <c r="G422" s="38" t="n">
        <v>0.66</v>
      </c>
      <c r="H422" s="38" t="n">
        <v>0.77</v>
      </c>
      <c r="I422" s="38" t="n">
        <v>0.09</v>
      </c>
      <c r="J422" s="44" t="n">
        <v>6</v>
      </c>
      <c r="K422" s="44" t="n">
        <v>57</v>
      </c>
      <c r="L422" s="43">
        <f>IFERROR(F422/F386-1,0)</f>
        <v/>
      </c>
      <c r="M422" s="13">
        <f>IF(L422&gt;=0,"Green",IF(ABS(L422)&lt;='00_Readme'!$B$14,"Amber","Red"))</f>
        <v/>
      </c>
    </row>
    <row r="423">
      <c r="A423" s="27" t="inlineStr">
        <is>
          <t>Dec 2026</t>
        </is>
      </c>
      <c r="B423" s="27" t="inlineStr">
        <is>
          <t>Jawa Tengah</t>
        </is>
      </c>
      <c r="C423" s="27" t="inlineStr">
        <is>
          <t>Modern Trade</t>
        </is>
      </c>
      <c r="D423" s="27" t="inlineStr">
        <is>
          <t>Personal Care</t>
        </is>
      </c>
      <c r="E423" s="28" t="n">
        <v>809</v>
      </c>
      <c r="F423" s="44" t="n">
        <v>225</v>
      </c>
      <c r="G423" s="38" t="n">
        <v>0.7000000000000001</v>
      </c>
      <c r="H423" s="38" t="n">
        <v>0.79</v>
      </c>
      <c r="I423" s="38" t="n">
        <v>0.17</v>
      </c>
      <c r="J423" s="44" t="n">
        <v>7</v>
      </c>
      <c r="K423" s="44" t="n">
        <v>50</v>
      </c>
      <c r="L423" s="43">
        <f>IFERROR(F423/F387-1,0)</f>
        <v/>
      </c>
      <c r="M423" s="13">
        <f>IF(L423&gt;=0,"Green",IF(ABS(L423)&lt;='00_Readme'!$B$14,"Amber","Red"))</f>
        <v/>
      </c>
    </row>
    <row r="424">
      <c r="A424" s="27" t="inlineStr">
        <is>
          <t>Dec 2026</t>
        </is>
      </c>
      <c r="B424" s="27" t="inlineStr">
        <is>
          <t>Jawa Tengah</t>
        </is>
      </c>
      <c r="C424" s="27" t="inlineStr">
        <is>
          <t>Modern Trade</t>
        </is>
      </c>
      <c r="D424" s="27" t="inlineStr">
        <is>
          <t>Home Care</t>
        </is>
      </c>
      <c r="E424" s="28" t="n">
        <v>847</v>
      </c>
      <c r="F424" s="44" t="n">
        <v>241</v>
      </c>
      <c r="G424" s="38" t="n">
        <v>0.7000000000000001</v>
      </c>
      <c r="H424" s="38" t="n">
        <v>0.8</v>
      </c>
      <c r="I424" s="38" t="n">
        <v>0.17</v>
      </c>
      <c r="J424" s="44" t="n">
        <v>8</v>
      </c>
      <c r="K424" s="44" t="n">
        <v>57</v>
      </c>
      <c r="L424" s="43">
        <f>IFERROR(F424/F388-1,0)</f>
        <v/>
      </c>
      <c r="M424" s="13">
        <f>IF(L424&gt;=0,"Green",IF(ABS(L424)&lt;='00_Readme'!$B$14,"Amber","Red"))</f>
        <v/>
      </c>
    </row>
    <row r="425">
      <c r="A425" s="27" t="inlineStr">
        <is>
          <t>Dec 2026</t>
        </is>
      </c>
      <c r="B425" s="27" t="inlineStr">
        <is>
          <t>Jawa Tengah</t>
        </is>
      </c>
      <c r="C425" s="27" t="inlineStr">
        <is>
          <t>Modern Trade</t>
        </is>
      </c>
      <c r="D425" s="27" t="inlineStr">
        <is>
          <t>Beverages</t>
        </is>
      </c>
      <c r="E425" s="28" t="n">
        <v>885</v>
      </c>
      <c r="F425" s="44" t="n">
        <v>257</v>
      </c>
      <c r="G425" s="38" t="n">
        <v>0.7000000000000001</v>
      </c>
      <c r="H425" s="38" t="n">
        <v>0.8100000000000001</v>
      </c>
      <c r="I425" s="38" t="n">
        <v>0.17</v>
      </c>
      <c r="J425" s="44" t="n">
        <v>8</v>
      </c>
      <c r="K425" s="44" t="n">
        <v>64</v>
      </c>
      <c r="L425" s="43">
        <f>IFERROR(F425/F389-1,0)</f>
        <v/>
      </c>
      <c r="M425" s="13">
        <f>IF(L425&gt;=0,"Green",IF(ABS(L425)&lt;='00_Readme'!$B$14,"Amber","Red"))</f>
        <v/>
      </c>
    </row>
    <row r="426">
      <c r="A426" s="27" t="inlineStr">
        <is>
          <t>Dec 2026</t>
        </is>
      </c>
      <c r="B426" s="27" t="inlineStr">
        <is>
          <t>Jawa Tengah</t>
        </is>
      </c>
      <c r="C426" s="27" t="inlineStr">
        <is>
          <t>E-commerce</t>
        </is>
      </c>
      <c r="D426" s="27" t="inlineStr">
        <is>
          <t>Personal Care</t>
        </is>
      </c>
      <c r="E426" s="28" t="n">
        <v>884</v>
      </c>
      <c r="F426" s="44" t="n">
        <v>253</v>
      </c>
      <c r="G426" s="38" t="n">
        <v>0.74</v>
      </c>
      <c r="H426" s="38" t="n">
        <v>0.83</v>
      </c>
      <c r="I426" s="38" t="n">
        <v>0.25</v>
      </c>
      <c r="J426" s="44" t="n">
        <v>10</v>
      </c>
      <c r="K426" s="44" t="n">
        <v>56</v>
      </c>
      <c r="L426" s="43">
        <f>IFERROR(F426/F390-1,0)</f>
        <v/>
      </c>
      <c r="M426" s="13">
        <f>IF(L426&gt;=0,"Green",IF(ABS(L426)&lt;='00_Readme'!$B$14,"Amber","Red"))</f>
        <v/>
      </c>
    </row>
    <row r="427">
      <c r="A427" s="27" t="inlineStr">
        <is>
          <t>Dec 2026</t>
        </is>
      </c>
      <c r="B427" s="27" t="inlineStr">
        <is>
          <t>Jawa Tengah</t>
        </is>
      </c>
      <c r="C427" s="27" t="inlineStr">
        <is>
          <t>E-commerce</t>
        </is>
      </c>
      <c r="D427" s="27" t="inlineStr">
        <is>
          <t>Home Care</t>
        </is>
      </c>
      <c r="E427" s="28" t="n">
        <v>922</v>
      </c>
      <c r="F427" s="44" t="n">
        <v>269</v>
      </c>
      <c r="G427" s="38" t="n">
        <v>0.74</v>
      </c>
      <c r="H427" s="38" t="n">
        <v>0.84</v>
      </c>
      <c r="I427" s="38" t="n">
        <v>0.25</v>
      </c>
      <c r="J427" s="44" t="n">
        <v>11</v>
      </c>
      <c r="K427" s="44" t="n">
        <v>63</v>
      </c>
      <c r="L427" s="43">
        <f>IFERROR(F427/F391-1,0)</f>
        <v/>
      </c>
      <c r="M427" s="13">
        <f>IF(L427&gt;=0,"Green",IF(ABS(L427)&lt;='00_Readme'!$B$14,"Amber","Red"))</f>
        <v/>
      </c>
    </row>
    <row r="428">
      <c r="A428" s="27" t="inlineStr">
        <is>
          <t>Dec 2026</t>
        </is>
      </c>
      <c r="B428" s="27" t="inlineStr">
        <is>
          <t>Jawa Tengah</t>
        </is>
      </c>
      <c r="C428" s="27" t="inlineStr">
        <is>
          <t>E-commerce</t>
        </is>
      </c>
      <c r="D428" s="27" t="inlineStr">
        <is>
          <t>Beverages</t>
        </is>
      </c>
      <c r="E428" s="28" t="n">
        <v>960</v>
      </c>
      <c r="F428" s="44" t="n">
        <v>285</v>
      </c>
      <c r="G428" s="38" t="n">
        <v>0.74</v>
      </c>
      <c r="H428" s="38" t="n">
        <v>0.85</v>
      </c>
      <c r="I428" s="38" t="n">
        <v>0.25</v>
      </c>
      <c r="J428" s="44" t="n">
        <v>12</v>
      </c>
      <c r="K428" s="44" t="n">
        <v>71</v>
      </c>
      <c r="L428" s="43">
        <f>IFERROR(F428/F392-1,0)</f>
        <v/>
      </c>
      <c r="M428" s="13">
        <f>IF(L428&gt;=0,"Green",IF(ABS(L428)&lt;='00_Readme'!$B$14,"Amber","Red"))</f>
        <v/>
      </c>
    </row>
    <row r="429">
      <c r="A429" s="27" t="inlineStr">
        <is>
          <t>Dec 2026</t>
        </is>
      </c>
      <c r="B429" s="27" t="inlineStr">
        <is>
          <t>Jawa Timur</t>
        </is>
      </c>
      <c r="C429" s="27" t="inlineStr">
        <is>
          <t>General Trade</t>
        </is>
      </c>
      <c r="D429" s="27" t="inlineStr">
        <is>
          <t>Personal Care</t>
        </is>
      </c>
      <c r="E429" s="28" t="n">
        <v>786</v>
      </c>
      <c r="F429" s="44" t="n">
        <v>210</v>
      </c>
      <c r="G429" s="38" t="n">
        <v>0.72</v>
      </c>
      <c r="H429" s="38" t="n">
        <v>0.8099999999999999</v>
      </c>
      <c r="I429" s="38" t="n">
        <v>0.09</v>
      </c>
      <c r="J429" s="44" t="n">
        <v>5</v>
      </c>
      <c r="K429" s="44" t="n">
        <v>46</v>
      </c>
      <c r="L429" s="43">
        <f>IFERROR(F429/F393-1,0)</f>
        <v/>
      </c>
      <c r="M429" s="13">
        <f>IF(L429&gt;=0,"Green",IF(ABS(L429)&lt;='00_Readme'!$B$14,"Amber","Red"))</f>
        <v/>
      </c>
    </row>
    <row r="430">
      <c r="A430" s="27" t="inlineStr">
        <is>
          <t>Dec 2026</t>
        </is>
      </c>
      <c r="B430" s="27" t="inlineStr">
        <is>
          <t>Jawa Timur</t>
        </is>
      </c>
      <c r="C430" s="27" t="inlineStr">
        <is>
          <t>General Trade</t>
        </is>
      </c>
      <c r="D430" s="27" t="inlineStr">
        <is>
          <t>Home Care</t>
        </is>
      </c>
      <c r="E430" s="28" t="n">
        <v>824</v>
      </c>
      <c r="F430" s="44" t="n">
        <v>226</v>
      </c>
      <c r="G430" s="38" t="n">
        <v>0.72</v>
      </c>
      <c r="H430" s="38" t="n">
        <v>0.82</v>
      </c>
      <c r="I430" s="38" t="n">
        <v>0.09</v>
      </c>
      <c r="J430" s="44" t="n">
        <v>6</v>
      </c>
      <c r="K430" s="44" t="n">
        <v>53</v>
      </c>
      <c r="L430" s="43">
        <f>IFERROR(F430/F394-1,0)</f>
        <v/>
      </c>
      <c r="M430" s="13">
        <f>IF(L430&gt;=0,"Green",IF(ABS(L430)&lt;='00_Readme'!$B$14,"Amber","Red"))</f>
        <v/>
      </c>
    </row>
    <row r="431">
      <c r="A431" s="27" t="inlineStr">
        <is>
          <t>Dec 2026</t>
        </is>
      </c>
      <c r="B431" s="27" t="inlineStr">
        <is>
          <t>Jawa Timur</t>
        </is>
      </c>
      <c r="C431" s="27" t="inlineStr">
        <is>
          <t>General Trade</t>
        </is>
      </c>
      <c r="D431" s="27" t="inlineStr">
        <is>
          <t>Beverages</t>
        </is>
      </c>
      <c r="E431" s="28" t="n">
        <v>862</v>
      </c>
      <c r="F431" s="44" t="n">
        <v>242</v>
      </c>
      <c r="G431" s="38" t="n">
        <v>0.72</v>
      </c>
      <c r="H431" s="38" t="n">
        <v>0.83</v>
      </c>
      <c r="I431" s="38" t="n">
        <v>0.09</v>
      </c>
      <c r="J431" s="44" t="n">
        <v>6</v>
      </c>
      <c r="K431" s="44" t="n">
        <v>60</v>
      </c>
      <c r="L431" s="43">
        <f>IFERROR(F431/F395-1,0)</f>
        <v/>
      </c>
      <c r="M431" s="13">
        <f>IF(L431&gt;=0,"Green",IF(ABS(L431)&lt;='00_Readme'!$B$14,"Amber","Red"))</f>
        <v/>
      </c>
    </row>
    <row r="432">
      <c r="A432" s="27" t="inlineStr">
        <is>
          <t>Dec 2026</t>
        </is>
      </c>
      <c r="B432" s="27" t="inlineStr">
        <is>
          <t>Jawa Timur</t>
        </is>
      </c>
      <c r="C432" s="27" t="inlineStr">
        <is>
          <t>Modern Trade</t>
        </is>
      </c>
      <c r="D432" s="27" t="inlineStr">
        <is>
          <t>Personal Care</t>
        </is>
      </c>
      <c r="E432" s="28" t="n">
        <v>861</v>
      </c>
      <c r="F432" s="44" t="n">
        <v>238</v>
      </c>
      <c r="G432" s="38" t="n">
        <v>0.76</v>
      </c>
      <c r="H432" s="38" t="n">
        <v>0.85</v>
      </c>
      <c r="I432" s="38" t="n">
        <v>0.17</v>
      </c>
      <c r="J432" s="44" t="n">
        <v>8</v>
      </c>
      <c r="K432" s="44" t="n">
        <v>52</v>
      </c>
      <c r="L432" s="43">
        <f>IFERROR(F432/F396-1,0)</f>
        <v/>
      </c>
      <c r="M432" s="13">
        <f>IF(L432&gt;=0,"Green",IF(ABS(L432)&lt;='00_Readme'!$B$14,"Amber","Red"))</f>
        <v/>
      </c>
    </row>
    <row r="433">
      <c r="A433" s="27" t="inlineStr">
        <is>
          <t>Dec 2026</t>
        </is>
      </c>
      <c r="B433" s="27" t="inlineStr">
        <is>
          <t>Jawa Timur</t>
        </is>
      </c>
      <c r="C433" s="27" t="inlineStr">
        <is>
          <t>Modern Trade</t>
        </is>
      </c>
      <c r="D433" s="27" t="inlineStr">
        <is>
          <t>Home Care</t>
        </is>
      </c>
      <c r="E433" s="28" t="n">
        <v>899</v>
      </c>
      <c r="F433" s="44" t="n">
        <v>254</v>
      </c>
      <c r="G433" s="38" t="n">
        <v>0.76</v>
      </c>
      <c r="H433" s="38" t="n">
        <v>0.86</v>
      </c>
      <c r="I433" s="38" t="n">
        <v>0.17</v>
      </c>
      <c r="J433" s="44" t="n">
        <v>8</v>
      </c>
      <c r="K433" s="44" t="n">
        <v>60</v>
      </c>
      <c r="L433" s="43">
        <f>IFERROR(F433/F397-1,0)</f>
        <v/>
      </c>
      <c r="M433" s="13">
        <f>IF(L433&gt;=0,"Green",IF(ABS(L433)&lt;='00_Readme'!$B$14,"Amber","Red"))</f>
        <v/>
      </c>
    </row>
    <row r="434">
      <c r="A434" s="27" t="inlineStr">
        <is>
          <t>Dec 2026</t>
        </is>
      </c>
      <c r="B434" s="27" t="inlineStr">
        <is>
          <t>Jawa Timur</t>
        </is>
      </c>
      <c r="C434" s="27" t="inlineStr">
        <is>
          <t>Modern Trade</t>
        </is>
      </c>
      <c r="D434" s="27" t="inlineStr">
        <is>
          <t>Beverages</t>
        </is>
      </c>
      <c r="E434" s="28" t="n">
        <v>937</v>
      </c>
      <c r="F434" s="44" t="n">
        <v>270</v>
      </c>
      <c r="G434" s="38" t="n">
        <v>0.76</v>
      </c>
      <c r="H434" s="38" t="n">
        <v>0.87</v>
      </c>
      <c r="I434" s="38" t="n">
        <v>0.17</v>
      </c>
      <c r="J434" s="44" t="n">
        <v>9</v>
      </c>
      <c r="K434" s="44" t="n">
        <v>68</v>
      </c>
      <c r="L434" s="43">
        <f>IFERROR(F434/F398-1,0)</f>
        <v/>
      </c>
      <c r="M434" s="13">
        <f>IF(L434&gt;=0,"Green",IF(ABS(L434)&lt;='00_Readme'!$B$14,"Amber","Red"))</f>
        <v/>
      </c>
    </row>
    <row r="435">
      <c r="A435" s="27" t="inlineStr">
        <is>
          <t>Dec 2026</t>
        </is>
      </c>
      <c r="B435" s="27" t="inlineStr">
        <is>
          <t>Jawa Timur</t>
        </is>
      </c>
      <c r="C435" s="27" t="inlineStr">
        <is>
          <t>E-commerce</t>
        </is>
      </c>
      <c r="D435" s="27" t="inlineStr">
        <is>
          <t>Personal Care</t>
        </is>
      </c>
      <c r="E435" s="28" t="n">
        <v>936</v>
      </c>
      <c r="F435" s="44" t="n">
        <v>266</v>
      </c>
      <c r="G435" s="38" t="n">
        <v>0.7999999999999999</v>
      </c>
      <c r="H435" s="38" t="n">
        <v>0.8899999999999999</v>
      </c>
      <c r="I435" s="38" t="n">
        <v>0.25</v>
      </c>
      <c r="J435" s="44" t="n">
        <v>11</v>
      </c>
      <c r="K435" s="44" t="n">
        <v>59</v>
      </c>
      <c r="L435" s="43">
        <f>IFERROR(F435/F399-1,0)</f>
        <v/>
      </c>
      <c r="M435" s="13">
        <f>IF(L435&gt;=0,"Green",IF(ABS(L435)&lt;='00_Readme'!$B$14,"Amber","Red"))</f>
        <v/>
      </c>
    </row>
    <row r="436">
      <c r="A436" s="27" t="inlineStr">
        <is>
          <t>Dec 2026</t>
        </is>
      </c>
      <c r="B436" s="27" t="inlineStr">
        <is>
          <t>Jawa Timur</t>
        </is>
      </c>
      <c r="C436" s="27" t="inlineStr">
        <is>
          <t>E-commerce</t>
        </is>
      </c>
      <c r="D436" s="27" t="inlineStr">
        <is>
          <t>Home Care</t>
        </is>
      </c>
      <c r="E436" s="28" t="n">
        <v>974</v>
      </c>
      <c r="F436" s="44" t="n">
        <v>282</v>
      </c>
      <c r="G436" s="38" t="n">
        <v>0.7999999999999999</v>
      </c>
      <c r="H436" s="38" t="n">
        <v>0.8999999999999999</v>
      </c>
      <c r="I436" s="38" t="n">
        <v>0.25</v>
      </c>
      <c r="J436" s="44" t="n">
        <v>12</v>
      </c>
      <c r="K436" s="44" t="n">
        <v>66</v>
      </c>
      <c r="L436" s="43">
        <f>IFERROR(F436/F400-1,0)</f>
        <v/>
      </c>
      <c r="M436" s="13">
        <f>IF(L436&gt;=0,"Green",IF(ABS(L436)&lt;='00_Readme'!$B$14,"Amber","Red"))</f>
        <v/>
      </c>
    </row>
    <row r="437">
      <c r="A437" s="27" t="inlineStr">
        <is>
          <t>Dec 2026</t>
        </is>
      </c>
      <c r="B437" s="27" t="inlineStr">
        <is>
          <t>Jawa Timur</t>
        </is>
      </c>
      <c r="C437" s="27" t="inlineStr">
        <is>
          <t>E-commerce</t>
        </is>
      </c>
      <c r="D437" s="27" t="inlineStr">
        <is>
          <t>Beverages</t>
        </is>
      </c>
      <c r="E437" s="28" t="n">
        <v>1012</v>
      </c>
      <c r="F437" s="44" t="n">
        <v>298</v>
      </c>
      <c r="G437" s="38" t="n">
        <v>0.7999999999999999</v>
      </c>
      <c r="H437" s="38" t="n">
        <v>0.9099999999999999</v>
      </c>
      <c r="I437" s="38" t="n">
        <v>0.25</v>
      </c>
      <c r="J437" s="44" t="n">
        <v>12</v>
      </c>
      <c r="K437" s="44" t="n">
        <v>74</v>
      </c>
      <c r="L437" s="43">
        <f>IFERROR(F437/F401-1,0)</f>
        <v/>
      </c>
      <c r="M437" s="13">
        <f>IF(L437&gt;=0,"Green",IF(ABS(L437)&lt;='00_Readme'!$B$14,"Amber","Red"))</f>
        <v/>
      </c>
    </row>
  </sheetData>
  <mergeCells count="2">
    <mergeCell ref="A2:M2"/>
    <mergeCell ref="A1:M1"/>
  </mergeCells>
  <conditionalFormatting sqref="M6:M437">
    <cfRule type="expression" priority="1" dxfId="1">
      <formula>M6="Green"</formula>
    </cfRule>
    <cfRule type="expression" priority="2" dxfId="2">
      <formula>M6="Amber"</formula>
    </cfRule>
    <cfRule type="expression" priority="3" dxfId="0">
      <formula>M6="Red"</formula>
    </cfRule>
  </conditionalFormatting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O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4" customWidth="1" min="4" max="4"/>
    <col width="20" customWidth="1" min="5" max="5"/>
    <col width="13" customWidth="1" min="6" max="6"/>
    <col width="13" customWidth="1" min="7" max="7"/>
    <col width="14" customWidth="1" min="8" max="8"/>
    <col width="14" customWidth="1" min="9" max="9"/>
    <col width="16" customWidth="1" min="10" max="10"/>
    <col width="20" customWidth="1" min="11" max="11"/>
    <col width="10" customWidth="1" min="12" max="12"/>
    <col width="24" customWidth="1" min="13" max="13"/>
    <col width="14" customWidth="1" min="14" max="14"/>
    <col width="10" customWidth="1" min="15" max="15"/>
  </cols>
  <sheetData>
    <row r="1" ht="28" customHeight="1">
      <c r="A1" s="1" t="inlineStr">
        <is>
          <t>Strategic Projects | GTM, Innovation &amp; Portfolio</t>
        </is>
      </c>
    </row>
    <row r="2" ht="29" customHeight="1">
      <c r="A2" s="2" t="inlineStr">
        <is>
          <t>Project pipeline with formula ROI and RAG status | IDR juta</t>
        </is>
      </c>
    </row>
    <row r="5" ht="30" customHeight="1">
      <c r="A5" s="9" t="inlineStr">
        <is>
          <t>Project ID</t>
        </is>
      </c>
      <c r="B5" s="9" t="inlineStr">
        <is>
          <t>Workstream</t>
        </is>
      </c>
      <c r="C5" s="9" t="inlineStr">
        <is>
          <t>Project</t>
        </is>
      </c>
      <c r="D5" s="9" t="inlineStr">
        <is>
          <t>Owner</t>
        </is>
      </c>
      <c r="E5" s="9" t="inlineStr">
        <is>
          <t>Sponsor</t>
        </is>
      </c>
      <c r="F5" s="9" t="inlineStr">
        <is>
          <t>Start</t>
        </is>
      </c>
      <c r="G5" s="9" t="inlineStr">
        <is>
          <t>End</t>
        </is>
      </c>
      <c r="H5" s="9" t="inlineStr">
        <is>
          <t>Budget</t>
        </is>
      </c>
      <c r="I5" s="9" t="inlineStr">
        <is>
          <t>Actual Spend</t>
        </is>
      </c>
      <c r="J5" s="9" t="inlineStr">
        <is>
          <t>Expected Revenue</t>
        </is>
      </c>
      <c r="K5" s="9" t="inlineStr">
        <is>
          <t>Expected Gross Profit</t>
        </is>
      </c>
      <c r="L5" s="9" t="inlineStr">
        <is>
          <t>ROI</t>
        </is>
      </c>
      <c r="M5" s="9" t="inlineStr">
        <is>
          <t>Milestone</t>
        </is>
      </c>
      <c r="N5" s="9" t="inlineStr">
        <is>
          <t>Status</t>
        </is>
      </c>
      <c r="O5" s="9" t="inlineStr">
        <is>
          <t>RAG</t>
        </is>
      </c>
    </row>
    <row r="6">
      <c r="A6" s="27" t="inlineStr">
        <is>
          <t>PRJ-001</t>
        </is>
      </c>
      <c r="B6" s="27" t="inlineStr">
        <is>
          <t>GTM</t>
        </is>
      </c>
      <c r="C6" s="27" t="inlineStr">
        <is>
          <t>Jabodetabek distributor re-segmentation</t>
        </is>
      </c>
      <c r="D6" s="27" t="inlineStr">
        <is>
          <t>Dina</t>
        </is>
      </c>
      <c r="E6" s="27" t="inlineStr">
        <is>
          <t>GM Commercial</t>
        </is>
      </c>
      <c r="F6" s="29" t="n">
        <v>46037</v>
      </c>
      <c r="G6" s="29" t="n">
        <v>46142</v>
      </c>
      <c r="H6" s="44" t="n">
        <v>850</v>
      </c>
      <c r="I6" s="44" t="n">
        <v>790</v>
      </c>
      <c r="J6" s="44" t="n">
        <v>4200</v>
      </c>
      <c r="K6" s="44" t="n">
        <v>1060</v>
      </c>
      <c r="L6" s="46">
        <f>IFERROR(K6/I6,0)</f>
        <v/>
      </c>
      <c r="M6" s="27" t="inlineStr">
        <is>
          <t>Pilot completed</t>
        </is>
      </c>
      <c r="N6" s="27" t="inlineStr">
        <is>
          <t>Completed</t>
        </is>
      </c>
      <c r="O6" s="13">
        <f>IF(N6="Completed","Green",IF(N6="On Track","Green",IF(N6="At Risk","Amber","Red")))</f>
        <v/>
      </c>
    </row>
    <row r="7">
      <c r="A7" s="27" t="inlineStr">
        <is>
          <t>PRJ-002</t>
        </is>
      </c>
      <c r="B7" s="27" t="inlineStr">
        <is>
          <t>Innovation</t>
        </is>
      </c>
      <c r="C7" s="27" t="inlineStr">
        <is>
          <t>Personal Care premium pack launch</t>
        </is>
      </c>
      <c r="D7" s="27" t="inlineStr">
        <is>
          <t>Rafi</t>
        </is>
      </c>
      <c r="E7" s="27" t="inlineStr">
        <is>
          <t>Marketing Director</t>
        </is>
      </c>
      <c r="F7" s="29" t="n">
        <v>46054</v>
      </c>
      <c r="G7" s="29" t="n">
        <v>46265</v>
      </c>
      <c r="H7" s="44" t="n">
        <v>1450</v>
      </c>
      <c r="I7" s="44" t="n">
        <v>990</v>
      </c>
      <c r="J7" s="44" t="n">
        <v>7200</v>
      </c>
      <c r="K7" s="44" t="n">
        <v>1720</v>
      </c>
      <c r="L7" s="46">
        <f>IFERROR(K7/I7,0)</f>
        <v/>
      </c>
      <c r="M7" s="27" t="inlineStr">
        <is>
          <t>National launch readiness</t>
        </is>
      </c>
      <c r="N7" s="27" t="inlineStr">
        <is>
          <t>On Track</t>
        </is>
      </c>
      <c r="O7" s="13">
        <f>IF(N7="Completed","Green",IF(N7="On Track","Green",IF(N7="At Risk","Amber","Red")))</f>
        <v/>
      </c>
    </row>
    <row r="8">
      <c r="A8" s="27" t="inlineStr">
        <is>
          <t>PRJ-003</t>
        </is>
      </c>
      <c r="B8" s="27" t="inlineStr">
        <is>
          <t>Digital Commerce</t>
        </is>
      </c>
      <c r="C8" s="27" t="inlineStr">
        <is>
          <t>Marketplace bundle engine</t>
        </is>
      </c>
      <c r="D8" s="27" t="inlineStr">
        <is>
          <t>Sari</t>
        </is>
      </c>
      <c r="E8" s="27" t="inlineStr">
        <is>
          <t>E-commerce Lead</t>
        </is>
      </c>
      <c r="F8" s="29" t="n">
        <v>46082</v>
      </c>
      <c r="G8" s="29" t="n">
        <v>46203</v>
      </c>
      <c r="H8" s="44" t="n">
        <v>720</v>
      </c>
      <c r="I8" s="44" t="n">
        <v>680</v>
      </c>
      <c r="J8" s="44" t="n">
        <v>3900</v>
      </c>
      <c r="K8" s="44" t="n">
        <v>780</v>
      </c>
      <c r="L8" s="46">
        <f>IFERROR(K8/I8,0)</f>
        <v/>
      </c>
      <c r="M8" s="27" t="inlineStr">
        <is>
          <t>Partner API live</t>
        </is>
      </c>
      <c r="N8" s="27" t="inlineStr">
        <is>
          <t>On Track</t>
        </is>
      </c>
      <c r="O8" s="13">
        <f>IF(N8="Completed","Green",IF(N8="On Track","Green",IF(N8="At Risk","Amber","Red")))</f>
        <v/>
      </c>
    </row>
    <row r="9">
      <c r="A9" s="27" t="inlineStr">
        <is>
          <t>PRJ-004</t>
        </is>
      </c>
      <c r="B9" s="27" t="inlineStr">
        <is>
          <t>Strategic Portfolio</t>
        </is>
      </c>
      <c r="C9" s="27" t="inlineStr">
        <is>
          <t>Home Care SKU rationalisation</t>
        </is>
      </c>
      <c r="D9" s="27" t="inlineStr">
        <is>
          <t>Bimo</t>
        </is>
      </c>
      <c r="E9" s="27" t="inlineStr">
        <is>
          <t>Supply Chain Director</t>
        </is>
      </c>
      <c r="F9" s="29" t="n">
        <v>46032</v>
      </c>
      <c r="G9" s="29" t="n">
        <v>46173</v>
      </c>
      <c r="H9" s="44" t="n">
        <v>560</v>
      </c>
      <c r="I9" s="44" t="n">
        <v>610</v>
      </c>
      <c r="J9" s="44" t="n">
        <v>1800</v>
      </c>
      <c r="K9" s="44" t="n">
        <v>410</v>
      </c>
      <c r="L9" s="46">
        <f>IFERROR(K9/I9,0)</f>
        <v/>
      </c>
      <c r="M9" s="27" t="inlineStr">
        <is>
          <t>Decision gate 2</t>
        </is>
      </c>
      <c r="N9" s="27" t="inlineStr">
        <is>
          <t>At Risk</t>
        </is>
      </c>
      <c r="O9" s="13">
        <f>IF(N9="Completed","Green",IF(N9="On Track","Green",IF(N9="At Risk","Amber","Red")))</f>
        <v/>
      </c>
    </row>
    <row r="10">
      <c r="A10" s="27" t="inlineStr">
        <is>
          <t>PRJ-005</t>
        </is>
      </c>
      <c r="B10" s="27" t="inlineStr">
        <is>
          <t>GTM</t>
        </is>
      </c>
      <c r="C10" s="27" t="inlineStr">
        <is>
          <t>East Java route-to-market expansion</t>
        </is>
      </c>
      <c r="D10" s="27" t="inlineStr">
        <is>
          <t>Yuni</t>
        </is>
      </c>
      <c r="E10" s="27" t="inlineStr">
        <is>
          <t>GM Sales</t>
        </is>
      </c>
      <c r="F10" s="29" t="n">
        <v>46113</v>
      </c>
      <c r="G10" s="29" t="n">
        <v>46326</v>
      </c>
      <c r="H10" s="44" t="n">
        <v>1800</v>
      </c>
      <c r="I10" s="44" t="n">
        <v>940</v>
      </c>
      <c r="J10" s="44" t="n">
        <v>8600</v>
      </c>
      <c r="K10" s="44" t="n">
        <v>1880</v>
      </c>
      <c r="L10" s="46">
        <f>IFERROR(K10/I10,0)</f>
        <v/>
      </c>
      <c r="M10" s="27" t="inlineStr">
        <is>
          <t>Distributor appointment</t>
        </is>
      </c>
      <c r="N10" s="27" t="inlineStr">
        <is>
          <t>On Track</t>
        </is>
      </c>
      <c r="O10" s="13">
        <f>IF(N10="Completed","Green",IF(N10="On Track","Green",IF(N10="At Risk","Amber","Red")))</f>
        <v/>
      </c>
    </row>
    <row r="11">
      <c r="A11" s="27" t="inlineStr">
        <is>
          <t>PRJ-006</t>
        </is>
      </c>
      <c r="B11" s="27" t="inlineStr">
        <is>
          <t>Innovation</t>
        </is>
      </c>
      <c r="C11" s="27" t="inlineStr">
        <is>
          <t>Beverages zero-sugar renovation</t>
        </is>
      </c>
      <c r="D11" s="27" t="inlineStr">
        <is>
          <t>Arman</t>
        </is>
      </c>
      <c r="E11" s="27" t="inlineStr">
        <is>
          <t>R&amp;D Director</t>
        </is>
      </c>
      <c r="F11" s="29" t="n">
        <v>46143</v>
      </c>
      <c r="G11" s="29" t="n">
        <v>46356</v>
      </c>
      <c r="H11" s="44" t="n">
        <v>2100</v>
      </c>
      <c r="I11" s="44" t="n">
        <v>1350</v>
      </c>
      <c r="J11" s="44" t="n">
        <v>9500</v>
      </c>
      <c r="K11" s="44" t="n">
        <v>2050</v>
      </c>
      <c r="L11" s="46">
        <f>IFERROR(K11/I11,0)</f>
        <v/>
      </c>
      <c r="M11" s="27" t="inlineStr">
        <is>
          <t>Consumer test readout</t>
        </is>
      </c>
      <c r="N11" s="27" t="inlineStr">
        <is>
          <t>At Risk</t>
        </is>
      </c>
      <c r="O11" s="13">
        <f>IF(N11="Completed","Green",IF(N11="On Track","Green",IF(N11="At Risk","Amber","Red")))</f>
        <v/>
      </c>
    </row>
    <row r="12">
      <c r="A12" s="27" t="inlineStr">
        <is>
          <t>PRJ-007</t>
        </is>
      </c>
      <c r="B12" s="27" t="inlineStr">
        <is>
          <t>Digital Commerce</t>
        </is>
      </c>
      <c r="C12" s="27" t="inlineStr">
        <is>
          <t>Live commerce expert program</t>
        </is>
      </c>
      <c r="D12" s="27" t="inlineStr">
        <is>
          <t>Maya</t>
        </is>
      </c>
      <c r="E12" s="27" t="inlineStr">
        <is>
          <t>Digital Director</t>
        </is>
      </c>
      <c r="F12" s="29" t="n">
        <v>46174</v>
      </c>
      <c r="G12" s="29" t="n">
        <v>46295</v>
      </c>
      <c r="H12" s="44" t="n">
        <v>480</v>
      </c>
      <c r="I12" s="44" t="n">
        <v>520</v>
      </c>
      <c r="J12" s="44" t="n">
        <v>2500</v>
      </c>
      <c r="K12" s="44" t="n">
        <v>510</v>
      </c>
      <c r="L12" s="46">
        <f>IFERROR(K12/I12,0)</f>
        <v/>
      </c>
      <c r="M12" s="27" t="inlineStr">
        <is>
          <t>Host training</t>
        </is>
      </c>
      <c r="N12" s="27" t="inlineStr">
        <is>
          <t>Delayed</t>
        </is>
      </c>
      <c r="O12" s="13">
        <f>IF(N12="Completed","Green",IF(N12="On Track","Green",IF(N12="At Risk","Amber","Red")))</f>
        <v/>
      </c>
    </row>
    <row r="13">
      <c r="A13" s="27" t="inlineStr">
        <is>
          <t>PRJ-008</t>
        </is>
      </c>
      <c r="B13" s="27" t="inlineStr">
        <is>
          <t>Strategic Portfolio</t>
        </is>
      </c>
      <c r="C13" s="27" t="inlineStr">
        <is>
          <t>Media mix effectiveness reset</t>
        </is>
      </c>
      <c r="D13" s="27" t="inlineStr">
        <is>
          <t>Fajar</t>
        </is>
      </c>
      <c r="E13" s="27" t="inlineStr">
        <is>
          <t>Finance Director</t>
        </is>
      </c>
      <c r="F13" s="29" t="n">
        <v>46204</v>
      </c>
      <c r="G13" s="29" t="n">
        <v>46371</v>
      </c>
      <c r="H13" s="44" t="n">
        <v>930</v>
      </c>
      <c r="I13" s="44" t="n">
        <v>420</v>
      </c>
      <c r="J13" s="44" t="n">
        <v>3300</v>
      </c>
      <c r="K13" s="44" t="n">
        <v>860</v>
      </c>
      <c r="L13" s="46">
        <f>IFERROR(K13/I13,0)</f>
        <v/>
      </c>
      <c r="M13" s="27" t="inlineStr">
        <is>
          <t>Budget reallocation</t>
        </is>
      </c>
      <c r="N13" s="27" t="inlineStr">
        <is>
          <t>On Track</t>
        </is>
      </c>
      <c r="O13" s="13">
        <f>IF(N13="Completed","Green",IF(N13="On Track","Green",IF(N13="At Risk","Amber","Red")))</f>
        <v/>
      </c>
    </row>
  </sheetData>
  <mergeCells count="2">
    <mergeCell ref="A1:O1"/>
    <mergeCell ref="A2:O2"/>
  </mergeCells>
  <conditionalFormatting sqref="O6:O13">
    <cfRule type="expression" priority="1" dxfId="1">
      <formula>O6="Green"</formula>
    </cfRule>
    <cfRule type="expression" priority="2" dxfId="2">
      <formula>O6="Amber"</formula>
    </cfRule>
    <cfRule type="expression" priority="3" dxfId="0">
      <formula>O6="Red"</formula>
    </cfRule>
  </conditionalFormatting>
  <dataValidations count="1">
    <dataValidation sqref="N6:N13" showDropDown="0" showInputMessage="0" showErrorMessage="0" allowBlank="0" type="list">
      <formula1>"On Track,At Risk,Delayed,Completed"</formula1>
    </dataValidation>
  </dataValidation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N126"/>
  <sheetViews>
    <sheetView showGridLines="0" zoomScale="9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7" customWidth="1" min="4" max="4"/>
    <col width="20" customWidth="1" min="5" max="5"/>
    <col width="16" customWidth="1" min="6" max="6"/>
    <col width="14" customWidth="1" min="7" max="7"/>
    <col width="18" customWidth="1" min="8" max="8"/>
    <col width="16" customWidth="1" min="9" max="9"/>
    <col width="16" customWidth="1" min="10" max="10"/>
    <col width="18" customWidth="1" min="11" max="11"/>
    <col width="10" customWidth="1" min="12" max="12"/>
    <col width="18" customWidth="1" min="13" max="13"/>
    <col width="10" customWidth="1" min="14" max="14"/>
  </cols>
  <sheetData>
    <row r="1" ht="28" customHeight="1">
      <c r="A1" s="1" t="inlineStr">
        <is>
          <t>Investment Efficiency | Trade, A&amp;P &amp; Media ROI</t>
        </is>
      </c>
    </row>
    <row r="2" ht="29" customHeight="1">
      <c r="A2" s="2" t="inlineStr">
        <is>
          <t>Detail by month x channel x category plus formula summary | IDR juta</t>
        </is>
      </c>
    </row>
    <row r="5" ht="30" customHeight="1">
      <c r="A5" s="9" t="inlineStr">
        <is>
          <t>Month</t>
        </is>
      </c>
      <c r="B5" s="9" t="inlineStr">
        <is>
          <t>Channel</t>
        </is>
      </c>
      <c r="C5" s="9" t="inlineStr">
        <is>
          <t>Category</t>
        </is>
      </c>
      <c r="D5" s="9" t="inlineStr">
        <is>
          <t>Trade Investment</t>
        </is>
      </c>
      <c r="E5" s="9" t="inlineStr">
        <is>
          <t>A&amp;P Investment</t>
        </is>
      </c>
      <c r="F5" s="9" t="inlineStr">
        <is>
          <t>Expert / Media Spend</t>
        </is>
      </c>
      <c r="G5" s="9" t="inlineStr">
        <is>
          <t>Gross Margin</t>
        </is>
      </c>
      <c r="H5" s="9" t="inlineStr">
        <is>
          <t>Overhead Target</t>
        </is>
      </c>
      <c r="I5" s="9" t="inlineStr">
        <is>
          <t>Actual Spend</t>
        </is>
      </c>
      <c r="J5" s="9" t="inlineStr">
        <is>
          <t>Incremental Sales</t>
        </is>
      </c>
      <c r="K5" s="9" t="inlineStr">
        <is>
          <t>Incremental Gross Profit</t>
        </is>
      </c>
      <c r="L5" s="9" t="inlineStr">
        <is>
          <t>ROI</t>
        </is>
      </c>
      <c r="M5" s="9" t="inlineStr">
        <is>
          <t>Variance vs Target</t>
        </is>
      </c>
      <c r="N5" s="9" t="inlineStr">
        <is>
          <t>RAG</t>
        </is>
      </c>
    </row>
    <row r="6">
      <c r="A6" s="27" t="inlineStr">
        <is>
          <t>Jan 2026</t>
        </is>
      </c>
      <c r="B6" s="27" t="inlineStr">
        <is>
          <t>General Trade</t>
        </is>
      </c>
      <c r="C6" s="27" t="inlineStr">
        <is>
          <t>Personal Care</t>
        </is>
      </c>
      <c r="D6" s="44" t="n">
        <v>80</v>
      </c>
      <c r="E6" s="44" t="n">
        <v>55</v>
      </c>
      <c r="F6" s="44" t="n">
        <v>30</v>
      </c>
      <c r="G6" s="43">
        <f>'02_P&amp;L'!B9</f>
        <v/>
      </c>
      <c r="H6" s="42">
        <f>'02_P&amp;L'!B24</f>
        <v/>
      </c>
      <c r="I6" s="44" t="n">
        <v>158</v>
      </c>
      <c r="J6" s="44" t="n">
        <v>310</v>
      </c>
      <c r="K6" s="44" t="n">
        <v>62</v>
      </c>
      <c r="L6" s="46">
        <f>IFERROR(K6/D6,0)</f>
        <v/>
      </c>
      <c r="M6" s="43">
        <f>IFERROR(K6/J6-G6,0)</f>
        <v/>
      </c>
      <c r="N6" s="13">
        <f>IF(M6&gt;=0,"Green",IF(ABS(M6)&lt;='00_Readme'!$B$14,"Amber","Red"))</f>
        <v/>
      </c>
    </row>
    <row r="7">
      <c r="A7" s="27" t="inlineStr">
        <is>
          <t>Jan 2026</t>
        </is>
      </c>
      <c r="B7" s="27" t="inlineStr">
        <is>
          <t>General Trade</t>
        </is>
      </c>
      <c r="C7" s="27" t="inlineStr">
        <is>
          <t>Home Care</t>
        </is>
      </c>
      <c r="D7" s="44" t="n">
        <v>91</v>
      </c>
      <c r="E7" s="44" t="n">
        <v>63</v>
      </c>
      <c r="F7" s="44" t="n">
        <v>36</v>
      </c>
      <c r="G7" s="43">
        <f>'02_P&amp;L'!B9</f>
        <v/>
      </c>
      <c r="H7" s="42">
        <f>'02_P&amp;L'!B24</f>
        <v/>
      </c>
      <c r="I7" s="44" t="n">
        <v>187</v>
      </c>
      <c r="J7" s="44" t="n">
        <v>345</v>
      </c>
      <c r="K7" s="44" t="n">
        <v>76</v>
      </c>
      <c r="L7" s="46">
        <f>IFERROR(K7/D7,0)</f>
        <v/>
      </c>
      <c r="M7" s="43">
        <f>IFERROR(K7/J7-G7,0)</f>
        <v/>
      </c>
      <c r="N7" s="13">
        <f>IF(M7&gt;=0,"Green",IF(ABS(M7)&lt;='00_Readme'!$B$14,"Amber","Red"))</f>
        <v/>
      </c>
    </row>
    <row r="8">
      <c r="A8" s="27" t="inlineStr">
        <is>
          <t>Jan 2026</t>
        </is>
      </c>
      <c r="B8" s="27" t="inlineStr">
        <is>
          <t>General Trade</t>
        </is>
      </c>
      <c r="C8" s="27" t="inlineStr">
        <is>
          <t>Beverages</t>
        </is>
      </c>
      <c r="D8" s="44" t="n">
        <v>102</v>
      </c>
      <c r="E8" s="44" t="n">
        <v>71</v>
      </c>
      <c r="F8" s="44" t="n">
        <v>42</v>
      </c>
      <c r="G8" s="43">
        <f>'02_P&amp;L'!B9</f>
        <v/>
      </c>
      <c r="H8" s="42">
        <f>'02_P&amp;L'!B24</f>
        <v/>
      </c>
      <c r="I8" s="44" t="n">
        <v>217</v>
      </c>
      <c r="J8" s="44" t="n">
        <v>380</v>
      </c>
      <c r="K8" s="44" t="n">
        <v>91</v>
      </c>
      <c r="L8" s="46">
        <f>IFERROR(K8/D8,0)</f>
        <v/>
      </c>
      <c r="M8" s="43">
        <f>IFERROR(K8/J8-G8,0)</f>
        <v/>
      </c>
      <c r="N8" s="13">
        <f>IF(M8&gt;=0,"Green",IF(ABS(M8)&lt;='00_Readme'!$B$14,"Amber","Red"))</f>
        <v/>
      </c>
    </row>
    <row r="9">
      <c r="A9" s="27" t="inlineStr">
        <is>
          <t>Jan 2026</t>
        </is>
      </c>
      <c r="B9" s="27" t="inlineStr">
        <is>
          <t>Modern Trade</t>
        </is>
      </c>
      <c r="C9" s="27" t="inlineStr">
        <is>
          <t>Personal Care</t>
        </is>
      </c>
      <c r="D9" s="44" t="n">
        <v>102</v>
      </c>
      <c r="E9" s="44" t="n">
        <v>71</v>
      </c>
      <c r="F9" s="44" t="n">
        <v>43</v>
      </c>
      <c r="G9" s="43">
        <f>'02_P&amp;L'!B9</f>
        <v/>
      </c>
      <c r="H9" s="42">
        <f>'02_P&amp;L'!B24</f>
        <v/>
      </c>
      <c r="I9" s="44" t="n">
        <v>213</v>
      </c>
      <c r="J9" s="44" t="n">
        <v>380</v>
      </c>
      <c r="K9" s="44" t="n">
        <v>76</v>
      </c>
      <c r="L9" s="46">
        <f>IFERROR(K9/D9,0)</f>
        <v/>
      </c>
      <c r="M9" s="43">
        <f>IFERROR(K9/J9-G9,0)</f>
        <v/>
      </c>
      <c r="N9" s="13">
        <f>IF(M9&gt;=0,"Green",IF(ABS(M9)&lt;='00_Readme'!$B$14,"Amber","Red"))</f>
        <v/>
      </c>
    </row>
    <row r="10">
      <c r="A10" s="27" t="inlineStr">
        <is>
          <t>Jan 2026</t>
        </is>
      </c>
      <c r="B10" s="27" t="inlineStr">
        <is>
          <t>Modern Trade</t>
        </is>
      </c>
      <c r="C10" s="27" t="inlineStr">
        <is>
          <t>Home Care</t>
        </is>
      </c>
      <c r="D10" s="44" t="n">
        <v>113</v>
      </c>
      <c r="E10" s="44" t="n">
        <v>79</v>
      </c>
      <c r="F10" s="44" t="n">
        <v>49</v>
      </c>
      <c r="G10" s="43">
        <f>'02_P&amp;L'!B9</f>
        <v/>
      </c>
      <c r="H10" s="42">
        <f>'02_P&amp;L'!B24</f>
        <v/>
      </c>
      <c r="I10" s="44" t="n">
        <v>243</v>
      </c>
      <c r="J10" s="44" t="n">
        <v>415</v>
      </c>
      <c r="K10" s="44" t="n">
        <v>91</v>
      </c>
      <c r="L10" s="46">
        <f>IFERROR(K10/D10,0)</f>
        <v/>
      </c>
      <c r="M10" s="43">
        <f>IFERROR(K10/J10-G10,0)</f>
        <v/>
      </c>
      <c r="N10" s="13">
        <f>IF(M10&gt;=0,"Green",IF(ABS(M10)&lt;='00_Readme'!$B$14,"Amber","Red"))</f>
        <v/>
      </c>
    </row>
    <row r="11">
      <c r="A11" s="27" t="inlineStr">
        <is>
          <t>Jan 2026</t>
        </is>
      </c>
      <c r="B11" s="27" t="inlineStr">
        <is>
          <t>Modern Trade</t>
        </is>
      </c>
      <c r="C11" s="27" t="inlineStr">
        <is>
          <t>Beverages</t>
        </is>
      </c>
      <c r="D11" s="44" t="n">
        <v>124</v>
      </c>
      <c r="E11" s="44" t="n">
        <v>87</v>
      </c>
      <c r="F11" s="44" t="n">
        <v>55</v>
      </c>
      <c r="G11" s="43">
        <f>'02_P&amp;L'!B9</f>
        <v/>
      </c>
      <c r="H11" s="42">
        <f>'02_P&amp;L'!B24</f>
        <v/>
      </c>
      <c r="I11" s="44" t="n">
        <v>275</v>
      </c>
      <c r="J11" s="44" t="n">
        <v>450</v>
      </c>
      <c r="K11" s="44" t="n">
        <v>108</v>
      </c>
      <c r="L11" s="46">
        <f>IFERROR(K11/D11,0)</f>
        <v/>
      </c>
      <c r="M11" s="43">
        <f>IFERROR(K11/J11-G11,0)</f>
        <v/>
      </c>
      <c r="N11" s="13">
        <f>IF(M11&gt;=0,"Green",IF(ABS(M11)&lt;='00_Readme'!$B$14,"Amber","Red"))</f>
        <v/>
      </c>
    </row>
    <row r="12">
      <c r="A12" s="27" t="inlineStr">
        <is>
          <t>Jan 2026</t>
        </is>
      </c>
      <c r="B12" s="27" t="inlineStr">
        <is>
          <t>E-commerce</t>
        </is>
      </c>
      <c r="C12" s="27" t="inlineStr">
        <is>
          <t>Personal Care</t>
        </is>
      </c>
      <c r="D12" s="44" t="n">
        <v>124</v>
      </c>
      <c r="E12" s="44" t="n">
        <v>87</v>
      </c>
      <c r="F12" s="44" t="n">
        <v>56</v>
      </c>
      <c r="G12" s="43">
        <f>'02_P&amp;L'!B9</f>
        <v/>
      </c>
      <c r="H12" s="42">
        <f>'02_P&amp;L'!B24</f>
        <v/>
      </c>
      <c r="I12" s="44" t="n">
        <v>270</v>
      </c>
      <c r="J12" s="44" t="n">
        <v>450</v>
      </c>
      <c r="K12" s="44" t="n">
        <v>90</v>
      </c>
      <c r="L12" s="46">
        <f>IFERROR(K12/D12,0)</f>
        <v/>
      </c>
      <c r="M12" s="43">
        <f>IFERROR(K12/J12-G12,0)</f>
        <v/>
      </c>
      <c r="N12" s="13">
        <f>IF(M12&gt;=0,"Green",IF(ABS(M12)&lt;='00_Readme'!$B$14,"Amber","Red"))</f>
        <v/>
      </c>
    </row>
    <row r="13">
      <c r="A13" s="27" t="inlineStr">
        <is>
          <t>Jan 2026</t>
        </is>
      </c>
      <c r="B13" s="27" t="inlineStr">
        <is>
          <t>E-commerce</t>
        </is>
      </c>
      <c r="C13" s="27" t="inlineStr">
        <is>
          <t>Home Care</t>
        </is>
      </c>
      <c r="D13" s="44" t="n">
        <v>135</v>
      </c>
      <c r="E13" s="44" t="n">
        <v>95</v>
      </c>
      <c r="F13" s="44" t="n">
        <v>62</v>
      </c>
      <c r="G13" s="43">
        <f>'02_P&amp;L'!B9</f>
        <v/>
      </c>
      <c r="H13" s="42">
        <f>'02_P&amp;L'!B24</f>
        <v/>
      </c>
      <c r="I13" s="44" t="n">
        <v>302</v>
      </c>
      <c r="J13" s="44" t="n">
        <v>485</v>
      </c>
      <c r="K13" s="44" t="n">
        <v>107</v>
      </c>
      <c r="L13" s="46">
        <f>IFERROR(K13/D13,0)</f>
        <v/>
      </c>
      <c r="M13" s="43">
        <f>IFERROR(K13/J13-G13,0)</f>
        <v/>
      </c>
      <c r="N13" s="13">
        <f>IF(M13&gt;=0,"Green",IF(ABS(M13)&lt;='00_Readme'!$B$14,"Amber","Red"))</f>
        <v/>
      </c>
    </row>
    <row r="14">
      <c r="A14" s="27" t="inlineStr">
        <is>
          <t>Jan 2026</t>
        </is>
      </c>
      <c r="B14" s="27" t="inlineStr">
        <is>
          <t>E-commerce</t>
        </is>
      </c>
      <c r="C14" s="27" t="inlineStr">
        <is>
          <t>Beverages</t>
        </is>
      </c>
      <c r="D14" s="44" t="n">
        <v>146</v>
      </c>
      <c r="E14" s="44" t="n">
        <v>103</v>
      </c>
      <c r="F14" s="44" t="n">
        <v>68</v>
      </c>
      <c r="G14" s="43">
        <f>'02_P&amp;L'!B9</f>
        <v/>
      </c>
      <c r="H14" s="42">
        <f>'02_P&amp;L'!B24</f>
        <v/>
      </c>
      <c r="I14" s="44" t="n">
        <v>304</v>
      </c>
      <c r="J14" s="44" t="n">
        <v>520</v>
      </c>
      <c r="K14" s="44" t="n">
        <v>125</v>
      </c>
      <c r="L14" s="46">
        <f>IFERROR(K14/D14,0)</f>
        <v/>
      </c>
      <c r="M14" s="43">
        <f>IFERROR(K14/J14-G14,0)</f>
        <v/>
      </c>
      <c r="N14" s="13">
        <f>IF(M14&gt;=0,"Green",IF(ABS(M14)&lt;='00_Readme'!$B$14,"Amber","Red"))</f>
        <v/>
      </c>
    </row>
    <row r="15">
      <c r="A15" s="27" t="inlineStr">
        <is>
          <t>Feb 2026</t>
        </is>
      </c>
      <c r="B15" s="27" t="inlineStr">
        <is>
          <t>General Trade</t>
        </is>
      </c>
      <c r="C15" s="27" t="inlineStr">
        <is>
          <t>Personal Care</t>
        </is>
      </c>
      <c r="D15" s="44" t="n">
        <v>83</v>
      </c>
      <c r="E15" s="44" t="n">
        <v>57</v>
      </c>
      <c r="F15" s="44" t="n">
        <v>32</v>
      </c>
      <c r="G15" s="43">
        <f>'02_P&amp;L'!C9</f>
        <v/>
      </c>
      <c r="H15" s="42">
        <f>'02_P&amp;L'!C24</f>
        <v/>
      </c>
      <c r="I15" s="44" t="n">
        <v>169</v>
      </c>
      <c r="J15" s="44" t="n">
        <v>322</v>
      </c>
      <c r="K15" s="44" t="n">
        <v>64</v>
      </c>
      <c r="L15" s="46">
        <f>IFERROR(K15/D15,0)</f>
        <v/>
      </c>
      <c r="M15" s="43">
        <f>IFERROR(K15/J15-G15,0)</f>
        <v/>
      </c>
      <c r="N15" s="13">
        <f>IF(M15&gt;=0,"Green",IF(ABS(M15)&lt;='00_Readme'!$B$14,"Amber","Red"))</f>
        <v/>
      </c>
    </row>
    <row r="16">
      <c r="A16" s="27" t="inlineStr">
        <is>
          <t>Feb 2026</t>
        </is>
      </c>
      <c r="B16" s="27" t="inlineStr">
        <is>
          <t>General Trade</t>
        </is>
      </c>
      <c r="C16" s="27" t="inlineStr">
        <is>
          <t>Home Care</t>
        </is>
      </c>
      <c r="D16" s="44" t="n">
        <v>94</v>
      </c>
      <c r="E16" s="44" t="n">
        <v>65</v>
      </c>
      <c r="F16" s="44" t="n">
        <v>38</v>
      </c>
      <c r="G16" s="43">
        <f>'02_P&amp;L'!C9</f>
        <v/>
      </c>
      <c r="H16" s="42">
        <f>'02_P&amp;L'!C24</f>
        <v/>
      </c>
      <c r="I16" s="44" t="n">
        <v>199</v>
      </c>
      <c r="J16" s="44" t="n">
        <v>357</v>
      </c>
      <c r="K16" s="44" t="n">
        <v>79</v>
      </c>
      <c r="L16" s="46">
        <f>IFERROR(K16/D16,0)</f>
        <v/>
      </c>
      <c r="M16" s="43">
        <f>IFERROR(K16/J16-G16,0)</f>
        <v/>
      </c>
      <c r="N16" s="13">
        <f>IF(M16&gt;=0,"Green",IF(ABS(M16)&lt;='00_Readme'!$B$14,"Amber","Red"))</f>
        <v/>
      </c>
    </row>
    <row r="17">
      <c r="A17" s="27" t="inlineStr">
        <is>
          <t>Feb 2026</t>
        </is>
      </c>
      <c r="B17" s="27" t="inlineStr">
        <is>
          <t>General Trade</t>
        </is>
      </c>
      <c r="C17" s="27" t="inlineStr">
        <is>
          <t>Beverages</t>
        </is>
      </c>
      <c r="D17" s="44" t="n">
        <v>105</v>
      </c>
      <c r="E17" s="44" t="n">
        <v>73</v>
      </c>
      <c r="F17" s="44" t="n">
        <v>44</v>
      </c>
      <c r="G17" s="43">
        <f>'02_P&amp;L'!C9</f>
        <v/>
      </c>
      <c r="H17" s="42">
        <f>'02_P&amp;L'!C24</f>
        <v/>
      </c>
      <c r="I17" s="44" t="n">
        <v>230</v>
      </c>
      <c r="J17" s="44" t="n">
        <v>392</v>
      </c>
      <c r="K17" s="44" t="n">
        <v>94</v>
      </c>
      <c r="L17" s="46">
        <f>IFERROR(K17/D17,0)</f>
        <v/>
      </c>
      <c r="M17" s="43">
        <f>IFERROR(K17/J17-G17,0)</f>
        <v/>
      </c>
      <c r="N17" s="13">
        <f>IF(M17&gt;=0,"Green",IF(ABS(M17)&lt;='00_Readme'!$B$14,"Amber","Red"))</f>
        <v/>
      </c>
    </row>
    <row r="18">
      <c r="A18" s="27" t="inlineStr">
        <is>
          <t>Feb 2026</t>
        </is>
      </c>
      <c r="B18" s="27" t="inlineStr">
        <is>
          <t>Modern Trade</t>
        </is>
      </c>
      <c r="C18" s="27" t="inlineStr">
        <is>
          <t>Personal Care</t>
        </is>
      </c>
      <c r="D18" s="44" t="n">
        <v>105</v>
      </c>
      <c r="E18" s="44" t="n">
        <v>73</v>
      </c>
      <c r="F18" s="44" t="n">
        <v>45</v>
      </c>
      <c r="G18" s="43">
        <f>'02_P&amp;L'!C9</f>
        <v/>
      </c>
      <c r="H18" s="42">
        <f>'02_P&amp;L'!C24</f>
        <v/>
      </c>
      <c r="I18" s="44" t="n">
        <v>225</v>
      </c>
      <c r="J18" s="44" t="n">
        <v>392</v>
      </c>
      <c r="K18" s="44" t="n">
        <v>78</v>
      </c>
      <c r="L18" s="46">
        <f>IFERROR(K18/D18,0)</f>
        <v/>
      </c>
      <c r="M18" s="43">
        <f>IFERROR(K18/J18-G18,0)</f>
        <v/>
      </c>
      <c r="N18" s="13">
        <f>IF(M18&gt;=0,"Green",IF(ABS(M18)&lt;='00_Readme'!$B$14,"Amber","Red"))</f>
        <v/>
      </c>
    </row>
    <row r="19">
      <c r="A19" s="27" t="inlineStr">
        <is>
          <t>Feb 2026</t>
        </is>
      </c>
      <c r="B19" s="27" t="inlineStr">
        <is>
          <t>Modern Trade</t>
        </is>
      </c>
      <c r="C19" s="27" t="inlineStr">
        <is>
          <t>Home Care</t>
        </is>
      </c>
      <c r="D19" s="44" t="n">
        <v>116</v>
      </c>
      <c r="E19" s="44" t="n">
        <v>81</v>
      </c>
      <c r="F19" s="44" t="n">
        <v>51</v>
      </c>
      <c r="G19" s="43">
        <f>'02_P&amp;L'!C9</f>
        <v/>
      </c>
      <c r="H19" s="42">
        <f>'02_P&amp;L'!C24</f>
        <v/>
      </c>
      <c r="I19" s="44" t="n">
        <v>257</v>
      </c>
      <c r="J19" s="44" t="n">
        <v>427</v>
      </c>
      <c r="K19" s="44" t="n">
        <v>94</v>
      </c>
      <c r="L19" s="46">
        <f>IFERROR(K19/D19,0)</f>
        <v/>
      </c>
      <c r="M19" s="43">
        <f>IFERROR(K19/J19-G19,0)</f>
        <v/>
      </c>
      <c r="N19" s="13">
        <f>IF(M19&gt;=0,"Green",IF(ABS(M19)&lt;='00_Readme'!$B$14,"Amber","Red"))</f>
        <v/>
      </c>
    </row>
    <row r="20">
      <c r="A20" s="27" t="inlineStr">
        <is>
          <t>Feb 2026</t>
        </is>
      </c>
      <c r="B20" s="27" t="inlineStr">
        <is>
          <t>Modern Trade</t>
        </is>
      </c>
      <c r="C20" s="27" t="inlineStr">
        <is>
          <t>Beverages</t>
        </is>
      </c>
      <c r="D20" s="44" t="n">
        <v>127</v>
      </c>
      <c r="E20" s="44" t="n">
        <v>89</v>
      </c>
      <c r="F20" s="44" t="n">
        <v>57</v>
      </c>
      <c r="G20" s="43">
        <f>'02_P&amp;L'!C9</f>
        <v/>
      </c>
      <c r="H20" s="42">
        <f>'02_P&amp;L'!C24</f>
        <v/>
      </c>
      <c r="I20" s="44" t="n">
        <v>262</v>
      </c>
      <c r="J20" s="44" t="n">
        <v>462</v>
      </c>
      <c r="K20" s="44" t="n">
        <v>111</v>
      </c>
      <c r="L20" s="46">
        <f>IFERROR(K20/D20,0)</f>
        <v/>
      </c>
      <c r="M20" s="43">
        <f>IFERROR(K20/J20-G20,0)</f>
        <v/>
      </c>
      <c r="N20" s="13">
        <f>IF(M20&gt;=0,"Green",IF(ABS(M20)&lt;='00_Readme'!$B$14,"Amber","Red"))</f>
        <v/>
      </c>
    </row>
    <row r="21">
      <c r="A21" s="27" t="inlineStr">
        <is>
          <t>Feb 2026</t>
        </is>
      </c>
      <c r="B21" s="27" t="inlineStr">
        <is>
          <t>E-commerce</t>
        </is>
      </c>
      <c r="C21" s="27" t="inlineStr">
        <is>
          <t>Personal Care</t>
        </is>
      </c>
      <c r="D21" s="44" t="n">
        <v>127</v>
      </c>
      <c r="E21" s="44" t="n">
        <v>89</v>
      </c>
      <c r="F21" s="44" t="n">
        <v>58</v>
      </c>
      <c r="G21" s="43">
        <f>'02_P&amp;L'!C9</f>
        <v/>
      </c>
      <c r="H21" s="42">
        <f>'02_P&amp;L'!C24</f>
        <v/>
      </c>
      <c r="I21" s="44" t="n">
        <v>284</v>
      </c>
      <c r="J21" s="44" t="n">
        <v>462</v>
      </c>
      <c r="K21" s="44" t="n">
        <v>92</v>
      </c>
      <c r="L21" s="46">
        <f>IFERROR(K21/D21,0)</f>
        <v/>
      </c>
      <c r="M21" s="43">
        <f>IFERROR(K21/J21-G21,0)</f>
        <v/>
      </c>
      <c r="N21" s="13">
        <f>IF(M21&gt;=0,"Green",IF(ABS(M21)&lt;='00_Readme'!$B$14,"Amber","Red"))</f>
        <v/>
      </c>
    </row>
    <row r="22">
      <c r="A22" s="27" t="inlineStr">
        <is>
          <t>Feb 2026</t>
        </is>
      </c>
      <c r="B22" s="27" t="inlineStr">
        <is>
          <t>E-commerce</t>
        </is>
      </c>
      <c r="C22" s="27" t="inlineStr">
        <is>
          <t>Home Care</t>
        </is>
      </c>
      <c r="D22" s="44" t="n">
        <v>138</v>
      </c>
      <c r="E22" s="44" t="n">
        <v>97</v>
      </c>
      <c r="F22" s="44" t="n">
        <v>64</v>
      </c>
      <c r="G22" s="43">
        <f>'02_P&amp;L'!C9</f>
        <v/>
      </c>
      <c r="H22" s="42">
        <f>'02_P&amp;L'!C24</f>
        <v/>
      </c>
      <c r="I22" s="44" t="n">
        <v>287</v>
      </c>
      <c r="J22" s="44" t="n">
        <v>497</v>
      </c>
      <c r="K22" s="44" t="n">
        <v>109</v>
      </c>
      <c r="L22" s="46">
        <f>IFERROR(K22/D22,0)</f>
        <v/>
      </c>
      <c r="M22" s="43">
        <f>IFERROR(K22/J22-G22,0)</f>
        <v/>
      </c>
      <c r="N22" s="13">
        <f>IF(M22&gt;=0,"Green",IF(ABS(M22)&lt;='00_Readme'!$B$14,"Amber","Red"))</f>
        <v/>
      </c>
    </row>
    <row r="23">
      <c r="A23" s="27" t="inlineStr">
        <is>
          <t>Feb 2026</t>
        </is>
      </c>
      <c r="B23" s="27" t="inlineStr">
        <is>
          <t>E-commerce</t>
        </is>
      </c>
      <c r="C23" s="27" t="inlineStr">
        <is>
          <t>Beverages</t>
        </is>
      </c>
      <c r="D23" s="44" t="n">
        <v>149</v>
      </c>
      <c r="E23" s="44" t="n">
        <v>105</v>
      </c>
      <c r="F23" s="44" t="n">
        <v>70</v>
      </c>
      <c r="G23" s="43">
        <f>'02_P&amp;L'!C9</f>
        <v/>
      </c>
      <c r="H23" s="42">
        <f>'02_P&amp;L'!C24</f>
        <v/>
      </c>
      <c r="I23" s="44" t="n">
        <v>319</v>
      </c>
      <c r="J23" s="44" t="n">
        <v>532</v>
      </c>
      <c r="K23" s="44" t="n">
        <v>128</v>
      </c>
      <c r="L23" s="46">
        <f>IFERROR(K23/D23,0)</f>
        <v/>
      </c>
      <c r="M23" s="43">
        <f>IFERROR(K23/J23-G23,0)</f>
        <v/>
      </c>
      <c r="N23" s="13">
        <f>IF(M23&gt;=0,"Green",IF(ABS(M23)&lt;='00_Readme'!$B$14,"Amber","Red"))</f>
        <v/>
      </c>
    </row>
    <row r="24">
      <c r="A24" s="27" t="inlineStr">
        <is>
          <t>Mar 2026</t>
        </is>
      </c>
      <c r="B24" s="27" t="inlineStr">
        <is>
          <t>General Trade</t>
        </is>
      </c>
      <c r="C24" s="27" t="inlineStr">
        <is>
          <t>Personal Care</t>
        </is>
      </c>
      <c r="D24" s="44" t="n">
        <v>86</v>
      </c>
      <c r="E24" s="44" t="n">
        <v>59</v>
      </c>
      <c r="F24" s="44" t="n">
        <v>34</v>
      </c>
      <c r="G24" s="43">
        <f>'02_P&amp;L'!D9</f>
        <v/>
      </c>
      <c r="H24" s="42">
        <f>'02_P&amp;L'!D24</f>
        <v/>
      </c>
      <c r="I24" s="44" t="n">
        <v>181</v>
      </c>
      <c r="J24" s="44" t="n">
        <v>334</v>
      </c>
      <c r="K24" s="44" t="n">
        <v>67</v>
      </c>
      <c r="L24" s="46">
        <f>IFERROR(K24/D24,0)</f>
        <v/>
      </c>
      <c r="M24" s="43">
        <f>IFERROR(K24/J24-G24,0)</f>
        <v/>
      </c>
      <c r="N24" s="13">
        <f>IF(M24&gt;=0,"Green",IF(ABS(M24)&lt;='00_Readme'!$B$14,"Amber","Red"))</f>
        <v/>
      </c>
    </row>
    <row r="25">
      <c r="A25" s="27" t="inlineStr">
        <is>
          <t>Mar 2026</t>
        </is>
      </c>
      <c r="B25" s="27" t="inlineStr">
        <is>
          <t>General Trade</t>
        </is>
      </c>
      <c r="C25" s="27" t="inlineStr">
        <is>
          <t>Home Care</t>
        </is>
      </c>
      <c r="D25" s="44" t="n">
        <v>97</v>
      </c>
      <c r="E25" s="44" t="n">
        <v>67</v>
      </c>
      <c r="F25" s="44" t="n">
        <v>40</v>
      </c>
      <c r="G25" s="43">
        <f>'02_P&amp;L'!D9</f>
        <v/>
      </c>
      <c r="H25" s="42">
        <f>'02_P&amp;L'!D24</f>
        <v/>
      </c>
      <c r="I25" s="44" t="n">
        <v>211</v>
      </c>
      <c r="J25" s="44" t="n">
        <v>369</v>
      </c>
      <c r="K25" s="44" t="n">
        <v>81</v>
      </c>
      <c r="L25" s="46">
        <f>IFERROR(K25/D25,0)</f>
        <v/>
      </c>
      <c r="M25" s="43">
        <f>IFERROR(K25/J25-G25,0)</f>
        <v/>
      </c>
      <c r="N25" s="13">
        <f>IF(M25&gt;=0,"Green",IF(ABS(M25)&lt;='00_Readme'!$B$14,"Amber","Red"))</f>
        <v/>
      </c>
    </row>
    <row r="26">
      <c r="A26" s="27" t="inlineStr">
        <is>
          <t>Mar 2026</t>
        </is>
      </c>
      <c r="B26" s="27" t="inlineStr">
        <is>
          <t>General Trade</t>
        </is>
      </c>
      <c r="C26" s="27" t="inlineStr">
        <is>
          <t>Beverages</t>
        </is>
      </c>
      <c r="D26" s="44" t="n">
        <v>108</v>
      </c>
      <c r="E26" s="44" t="n">
        <v>75</v>
      </c>
      <c r="F26" s="44" t="n">
        <v>46</v>
      </c>
      <c r="G26" s="43">
        <f>'02_P&amp;L'!D9</f>
        <v/>
      </c>
      <c r="H26" s="42">
        <f>'02_P&amp;L'!D24</f>
        <v/>
      </c>
      <c r="I26" s="44" t="n">
        <v>220</v>
      </c>
      <c r="J26" s="44" t="n">
        <v>404</v>
      </c>
      <c r="K26" s="44" t="n">
        <v>97</v>
      </c>
      <c r="L26" s="46">
        <f>IFERROR(K26/D26,0)</f>
        <v/>
      </c>
      <c r="M26" s="43">
        <f>IFERROR(K26/J26-G26,0)</f>
        <v/>
      </c>
      <c r="N26" s="13">
        <f>IF(M26&gt;=0,"Green",IF(ABS(M26)&lt;='00_Readme'!$B$14,"Amber","Red"))</f>
        <v/>
      </c>
    </row>
    <row r="27">
      <c r="A27" s="27" t="inlineStr">
        <is>
          <t>Mar 2026</t>
        </is>
      </c>
      <c r="B27" s="27" t="inlineStr">
        <is>
          <t>Modern Trade</t>
        </is>
      </c>
      <c r="C27" s="27" t="inlineStr">
        <is>
          <t>Personal Care</t>
        </is>
      </c>
      <c r="D27" s="44" t="n">
        <v>108</v>
      </c>
      <c r="E27" s="44" t="n">
        <v>75</v>
      </c>
      <c r="F27" s="44" t="n">
        <v>47</v>
      </c>
      <c r="G27" s="43">
        <f>'02_P&amp;L'!D9</f>
        <v/>
      </c>
      <c r="H27" s="42">
        <f>'02_P&amp;L'!D24</f>
        <v/>
      </c>
      <c r="I27" s="44" t="n">
        <v>238</v>
      </c>
      <c r="J27" s="44" t="n">
        <v>404</v>
      </c>
      <c r="K27" s="44" t="n">
        <v>81</v>
      </c>
      <c r="L27" s="46">
        <f>IFERROR(K27/D27,0)</f>
        <v/>
      </c>
      <c r="M27" s="43">
        <f>IFERROR(K27/J27-G27,0)</f>
        <v/>
      </c>
      <c r="N27" s="13">
        <f>IF(M27&gt;=0,"Green",IF(ABS(M27)&lt;='00_Readme'!$B$14,"Amber","Red"))</f>
        <v/>
      </c>
    </row>
    <row r="28">
      <c r="A28" s="27" t="inlineStr">
        <is>
          <t>Mar 2026</t>
        </is>
      </c>
      <c r="B28" s="27" t="inlineStr">
        <is>
          <t>Modern Trade</t>
        </is>
      </c>
      <c r="C28" s="27" t="inlineStr">
        <is>
          <t>Home Care</t>
        </is>
      </c>
      <c r="D28" s="44" t="n">
        <v>119</v>
      </c>
      <c r="E28" s="44" t="n">
        <v>83</v>
      </c>
      <c r="F28" s="44" t="n">
        <v>53</v>
      </c>
      <c r="G28" s="43">
        <f>'02_P&amp;L'!D9</f>
        <v/>
      </c>
      <c r="H28" s="42">
        <f>'02_P&amp;L'!D24</f>
        <v/>
      </c>
      <c r="I28" s="44" t="n">
        <v>245</v>
      </c>
      <c r="J28" s="44" t="n">
        <v>439</v>
      </c>
      <c r="K28" s="44" t="n">
        <v>97</v>
      </c>
      <c r="L28" s="46">
        <f>IFERROR(K28/D28,0)</f>
        <v/>
      </c>
      <c r="M28" s="43">
        <f>IFERROR(K28/J28-G28,0)</f>
        <v/>
      </c>
      <c r="N28" s="13">
        <f>IF(M28&gt;=0,"Green",IF(ABS(M28)&lt;='00_Readme'!$B$14,"Amber","Red"))</f>
        <v/>
      </c>
    </row>
    <row r="29">
      <c r="A29" s="27" t="inlineStr">
        <is>
          <t>Mar 2026</t>
        </is>
      </c>
      <c r="B29" s="27" t="inlineStr">
        <is>
          <t>Modern Trade</t>
        </is>
      </c>
      <c r="C29" s="27" t="inlineStr">
        <is>
          <t>Beverages</t>
        </is>
      </c>
      <c r="D29" s="44" t="n">
        <v>130</v>
      </c>
      <c r="E29" s="44" t="n">
        <v>91</v>
      </c>
      <c r="F29" s="44" t="n">
        <v>59</v>
      </c>
      <c r="G29" s="43">
        <f>'02_P&amp;L'!D9</f>
        <v/>
      </c>
      <c r="H29" s="42">
        <f>'02_P&amp;L'!D24</f>
        <v/>
      </c>
      <c r="I29" s="44" t="n">
        <v>276</v>
      </c>
      <c r="J29" s="44" t="n">
        <v>474</v>
      </c>
      <c r="K29" s="44" t="n">
        <v>114</v>
      </c>
      <c r="L29" s="46">
        <f>IFERROR(K29/D29,0)</f>
        <v/>
      </c>
      <c r="M29" s="43">
        <f>IFERROR(K29/J29-G29,0)</f>
        <v/>
      </c>
      <c r="N29" s="13">
        <f>IF(M29&gt;=0,"Green",IF(ABS(M29)&lt;='00_Readme'!$B$14,"Amber","Red"))</f>
        <v/>
      </c>
    </row>
    <row r="30">
      <c r="A30" s="27" t="inlineStr">
        <is>
          <t>Mar 2026</t>
        </is>
      </c>
      <c r="B30" s="27" t="inlineStr">
        <is>
          <t>E-commerce</t>
        </is>
      </c>
      <c r="C30" s="27" t="inlineStr">
        <is>
          <t>Personal Care</t>
        </is>
      </c>
      <c r="D30" s="44" t="n">
        <v>130</v>
      </c>
      <c r="E30" s="44" t="n">
        <v>91</v>
      </c>
      <c r="F30" s="44" t="n">
        <v>60</v>
      </c>
      <c r="G30" s="43">
        <f>'02_P&amp;L'!D9</f>
        <v/>
      </c>
      <c r="H30" s="42">
        <f>'02_P&amp;L'!D24</f>
        <v/>
      </c>
      <c r="I30" s="44" t="n">
        <v>270</v>
      </c>
      <c r="J30" s="44" t="n">
        <v>474</v>
      </c>
      <c r="K30" s="44" t="n">
        <v>95</v>
      </c>
      <c r="L30" s="46">
        <f>IFERROR(K30/D30,0)</f>
        <v/>
      </c>
      <c r="M30" s="43">
        <f>IFERROR(K30/J30-G30,0)</f>
        <v/>
      </c>
      <c r="N30" s="13">
        <f>IF(M30&gt;=0,"Green",IF(ABS(M30)&lt;='00_Readme'!$B$14,"Amber","Red"))</f>
        <v/>
      </c>
    </row>
    <row r="31">
      <c r="A31" s="27" t="inlineStr">
        <is>
          <t>Mar 2026</t>
        </is>
      </c>
      <c r="B31" s="27" t="inlineStr">
        <is>
          <t>E-commerce</t>
        </is>
      </c>
      <c r="C31" s="27" t="inlineStr">
        <is>
          <t>Home Care</t>
        </is>
      </c>
      <c r="D31" s="44" t="n">
        <v>141</v>
      </c>
      <c r="E31" s="44" t="n">
        <v>99</v>
      </c>
      <c r="F31" s="44" t="n">
        <v>66</v>
      </c>
      <c r="G31" s="43">
        <f>'02_P&amp;L'!D9</f>
        <v/>
      </c>
      <c r="H31" s="42">
        <f>'02_P&amp;L'!D24</f>
        <v/>
      </c>
      <c r="I31" s="44" t="n">
        <v>301</v>
      </c>
      <c r="J31" s="44" t="n">
        <v>509</v>
      </c>
      <c r="K31" s="44" t="n">
        <v>112</v>
      </c>
      <c r="L31" s="46">
        <f>IFERROR(K31/D31,0)</f>
        <v/>
      </c>
      <c r="M31" s="43">
        <f>IFERROR(K31/J31-G31,0)</f>
        <v/>
      </c>
      <c r="N31" s="13">
        <f>IF(M31&gt;=0,"Green",IF(ABS(M31)&lt;='00_Readme'!$B$14,"Amber","Red"))</f>
        <v/>
      </c>
    </row>
    <row r="32">
      <c r="A32" s="27" t="inlineStr">
        <is>
          <t>Mar 2026</t>
        </is>
      </c>
      <c r="B32" s="27" t="inlineStr">
        <is>
          <t>E-commerce</t>
        </is>
      </c>
      <c r="C32" s="27" t="inlineStr">
        <is>
          <t>Beverages</t>
        </is>
      </c>
      <c r="D32" s="44" t="n">
        <v>152</v>
      </c>
      <c r="E32" s="44" t="n">
        <v>107</v>
      </c>
      <c r="F32" s="44" t="n">
        <v>72</v>
      </c>
      <c r="G32" s="43">
        <f>'02_P&amp;L'!D9</f>
        <v/>
      </c>
      <c r="H32" s="42">
        <f>'02_P&amp;L'!D24</f>
        <v/>
      </c>
      <c r="I32" s="44" t="n">
        <v>334</v>
      </c>
      <c r="J32" s="44" t="n">
        <v>544</v>
      </c>
      <c r="K32" s="44" t="n">
        <v>131</v>
      </c>
      <c r="L32" s="46">
        <f>IFERROR(K32/D32,0)</f>
        <v/>
      </c>
      <c r="M32" s="43">
        <f>IFERROR(K32/J32-G32,0)</f>
        <v/>
      </c>
      <c r="N32" s="13">
        <f>IF(M32&gt;=0,"Green",IF(ABS(M32)&lt;='00_Readme'!$B$14,"Amber","Red"))</f>
        <v/>
      </c>
    </row>
    <row r="33">
      <c r="A33" s="27" t="inlineStr">
        <is>
          <t>Apr 2026</t>
        </is>
      </c>
      <c r="B33" s="27" t="inlineStr">
        <is>
          <t>General Trade</t>
        </is>
      </c>
      <c r="C33" s="27" t="inlineStr">
        <is>
          <t>Personal Care</t>
        </is>
      </c>
      <c r="D33" s="44" t="n">
        <v>89</v>
      </c>
      <c r="E33" s="44" t="n">
        <v>61</v>
      </c>
      <c r="F33" s="44" t="n">
        <v>36</v>
      </c>
      <c r="G33" s="43">
        <f>'02_P&amp;L'!E9</f>
        <v/>
      </c>
      <c r="H33" s="42">
        <f>'02_P&amp;L'!E24</f>
        <v/>
      </c>
      <c r="I33" s="44" t="n">
        <v>193</v>
      </c>
      <c r="J33" s="44" t="n">
        <v>346</v>
      </c>
      <c r="K33" s="44" t="n">
        <v>69</v>
      </c>
      <c r="L33" s="46">
        <f>IFERROR(K33/D33,0)</f>
        <v/>
      </c>
      <c r="M33" s="43">
        <f>IFERROR(K33/J33-G33,0)</f>
        <v/>
      </c>
      <c r="N33" s="13">
        <f>IF(M33&gt;=0,"Green",IF(ABS(M33)&lt;='00_Readme'!$B$14,"Amber","Red"))</f>
        <v/>
      </c>
    </row>
    <row r="34">
      <c r="A34" s="27" t="inlineStr">
        <is>
          <t>Apr 2026</t>
        </is>
      </c>
      <c r="B34" s="27" t="inlineStr">
        <is>
          <t>General Trade</t>
        </is>
      </c>
      <c r="C34" s="27" t="inlineStr">
        <is>
          <t>Home Care</t>
        </is>
      </c>
      <c r="D34" s="44" t="n">
        <v>100</v>
      </c>
      <c r="E34" s="44" t="n">
        <v>69</v>
      </c>
      <c r="F34" s="44" t="n">
        <v>42</v>
      </c>
      <c r="G34" s="43">
        <f>'02_P&amp;L'!E9</f>
        <v/>
      </c>
      <c r="H34" s="42">
        <f>'02_P&amp;L'!E24</f>
        <v/>
      </c>
      <c r="I34" s="44" t="n">
        <v>203</v>
      </c>
      <c r="J34" s="44" t="n">
        <v>381</v>
      </c>
      <c r="K34" s="44" t="n">
        <v>84</v>
      </c>
      <c r="L34" s="46">
        <f>IFERROR(K34/D34,0)</f>
        <v/>
      </c>
      <c r="M34" s="43">
        <f>IFERROR(K34/J34-G34,0)</f>
        <v/>
      </c>
      <c r="N34" s="13">
        <f>IF(M34&gt;=0,"Green",IF(ABS(M34)&lt;='00_Readme'!$B$14,"Amber","Red"))</f>
        <v/>
      </c>
    </row>
    <row r="35">
      <c r="A35" s="27" t="inlineStr">
        <is>
          <t>Apr 2026</t>
        </is>
      </c>
      <c r="B35" s="27" t="inlineStr">
        <is>
          <t>General Trade</t>
        </is>
      </c>
      <c r="C35" s="27" t="inlineStr">
        <is>
          <t>Beverages</t>
        </is>
      </c>
      <c r="D35" s="44" t="n">
        <v>111</v>
      </c>
      <c r="E35" s="44" t="n">
        <v>77</v>
      </c>
      <c r="F35" s="44" t="n">
        <v>48</v>
      </c>
      <c r="G35" s="43">
        <f>'02_P&amp;L'!E9</f>
        <v/>
      </c>
      <c r="H35" s="42">
        <f>'02_P&amp;L'!E24</f>
        <v/>
      </c>
      <c r="I35" s="44" t="n">
        <v>232</v>
      </c>
      <c r="J35" s="44" t="n">
        <v>416</v>
      </c>
      <c r="K35" s="44" t="n">
        <v>100</v>
      </c>
      <c r="L35" s="46">
        <f>IFERROR(K35/D35,0)</f>
        <v/>
      </c>
      <c r="M35" s="43">
        <f>IFERROR(K35/J35-G35,0)</f>
        <v/>
      </c>
      <c r="N35" s="13">
        <f>IF(M35&gt;=0,"Green",IF(ABS(M35)&lt;='00_Readme'!$B$14,"Amber","Red"))</f>
        <v/>
      </c>
    </row>
    <row r="36">
      <c r="A36" s="27" t="inlineStr">
        <is>
          <t>Apr 2026</t>
        </is>
      </c>
      <c r="B36" s="27" t="inlineStr">
        <is>
          <t>Modern Trade</t>
        </is>
      </c>
      <c r="C36" s="27" t="inlineStr">
        <is>
          <t>Personal Care</t>
        </is>
      </c>
      <c r="D36" s="44" t="n">
        <v>111</v>
      </c>
      <c r="E36" s="44" t="n">
        <v>77</v>
      </c>
      <c r="F36" s="44" t="n">
        <v>49</v>
      </c>
      <c r="G36" s="43">
        <f>'02_P&amp;L'!E9</f>
        <v/>
      </c>
      <c r="H36" s="42">
        <f>'02_P&amp;L'!E24</f>
        <v/>
      </c>
      <c r="I36" s="44" t="n">
        <v>228</v>
      </c>
      <c r="J36" s="44" t="n">
        <v>416</v>
      </c>
      <c r="K36" s="44" t="n">
        <v>83</v>
      </c>
      <c r="L36" s="46">
        <f>IFERROR(K36/D36,0)</f>
        <v/>
      </c>
      <c r="M36" s="43">
        <f>IFERROR(K36/J36-G36,0)</f>
        <v/>
      </c>
      <c r="N36" s="13">
        <f>IF(M36&gt;=0,"Green",IF(ABS(M36)&lt;='00_Readme'!$B$14,"Amber","Red"))</f>
        <v/>
      </c>
    </row>
    <row r="37">
      <c r="A37" s="27" t="inlineStr">
        <is>
          <t>Apr 2026</t>
        </is>
      </c>
      <c r="B37" s="27" t="inlineStr">
        <is>
          <t>Modern Trade</t>
        </is>
      </c>
      <c r="C37" s="27" t="inlineStr">
        <is>
          <t>Home Care</t>
        </is>
      </c>
      <c r="D37" s="44" t="n">
        <v>122</v>
      </c>
      <c r="E37" s="44" t="n">
        <v>85</v>
      </c>
      <c r="F37" s="44" t="n">
        <v>55</v>
      </c>
      <c r="G37" s="43">
        <f>'02_P&amp;L'!E9</f>
        <v/>
      </c>
      <c r="H37" s="42">
        <f>'02_P&amp;L'!E24</f>
        <v/>
      </c>
      <c r="I37" s="44" t="n">
        <v>258</v>
      </c>
      <c r="J37" s="44" t="n">
        <v>451</v>
      </c>
      <c r="K37" s="44" t="n">
        <v>99</v>
      </c>
      <c r="L37" s="46">
        <f>IFERROR(K37/D37,0)</f>
        <v/>
      </c>
      <c r="M37" s="43">
        <f>IFERROR(K37/J37-G37,0)</f>
        <v/>
      </c>
      <c r="N37" s="13">
        <f>IF(M37&gt;=0,"Green",IF(ABS(M37)&lt;='00_Readme'!$B$14,"Amber","Red"))</f>
        <v/>
      </c>
    </row>
    <row r="38">
      <c r="A38" s="27" t="inlineStr">
        <is>
          <t>Apr 2026</t>
        </is>
      </c>
      <c r="B38" s="27" t="inlineStr">
        <is>
          <t>Modern Trade</t>
        </is>
      </c>
      <c r="C38" s="27" t="inlineStr">
        <is>
          <t>Beverages</t>
        </is>
      </c>
      <c r="D38" s="44" t="n">
        <v>133</v>
      </c>
      <c r="E38" s="44" t="n">
        <v>93</v>
      </c>
      <c r="F38" s="44" t="n">
        <v>61</v>
      </c>
      <c r="G38" s="43">
        <f>'02_P&amp;L'!E9</f>
        <v/>
      </c>
      <c r="H38" s="42">
        <f>'02_P&amp;L'!E24</f>
        <v/>
      </c>
      <c r="I38" s="44" t="n">
        <v>290</v>
      </c>
      <c r="J38" s="44" t="n">
        <v>486</v>
      </c>
      <c r="K38" s="44" t="n">
        <v>117</v>
      </c>
      <c r="L38" s="46">
        <f>IFERROR(K38/D38,0)</f>
        <v/>
      </c>
      <c r="M38" s="43">
        <f>IFERROR(K38/J38-G38,0)</f>
        <v/>
      </c>
      <c r="N38" s="13">
        <f>IF(M38&gt;=0,"Green",IF(ABS(M38)&lt;='00_Readme'!$B$14,"Amber","Red"))</f>
        <v/>
      </c>
    </row>
    <row r="39">
      <c r="A39" s="27" t="inlineStr">
        <is>
          <t>Apr 2026</t>
        </is>
      </c>
      <c r="B39" s="27" t="inlineStr">
        <is>
          <t>E-commerce</t>
        </is>
      </c>
      <c r="C39" s="27" t="inlineStr">
        <is>
          <t>Personal Care</t>
        </is>
      </c>
      <c r="D39" s="44" t="n">
        <v>133</v>
      </c>
      <c r="E39" s="44" t="n">
        <v>93</v>
      </c>
      <c r="F39" s="44" t="n">
        <v>62</v>
      </c>
      <c r="G39" s="43">
        <f>'02_P&amp;L'!E9</f>
        <v/>
      </c>
      <c r="H39" s="42">
        <f>'02_P&amp;L'!E24</f>
        <v/>
      </c>
      <c r="I39" s="44" t="n">
        <v>284</v>
      </c>
      <c r="J39" s="44" t="n">
        <v>486</v>
      </c>
      <c r="K39" s="44" t="n">
        <v>97</v>
      </c>
      <c r="L39" s="46">
        <f>IFERROR(K39/D39,0)</f>
        <v/>
      </c>
      <c r="M39" s="43">
        <f>IFERROR(K39/J39-G39,0)</f>
        <v/>
      </c>
      <c r="N39" s="13">
        <f>IF(M39&gt;=0,"Green",IF(ABS(M39)&lt;='00_Readme'!$B$14,"Amber","Red"))</f>
        <v/>
      </c>
    </row>
    <row r="40">
      <c r="A40" s="27" t="inlineStr">
        <is>
          <t>Apr 2026</t>
        </is>
      </c>
      <c r="B40" s="27" t="inlineStr">
        <is>
          <t>E-commerce</t>
        </is>
      </c>
      <c r="C40" s="27" t="inlineStr">
        <is>
          <t>Home Care</t>
        </is>
      </c>
      <c r="D40" s="44" t="n">
        <v>144</v>
      </c>
      <c r="E40" s="44" t="n">
        <v>101</v>
      </c>
      <c r="F40" s="44" t="n">
        <v>68</v>
      </c>
      <c r="G40" s="43">
        <f>'02_P&amp;L'!E9</f>
        <v/>
      </c>
      <c r="H40" s="42">
        <f>'02_P&amp;L'!E24</f>
        <v/>
      </c>
      <c r="I40" s="44" t="n">
        <v>316</v>
      </c>
      <c r="J40" s="44" t="n">
        <v>521</v>
      </c>
      <c r="K40" s="44" t="n">
        <v>115</v>
      </c>
      <c r="L40" s="46">
        <f>IFERROR(K40/D40,0)</f>
        <v/>
      </c>
      <c r="M40" s="43">
        <f>IFERROR(K40/J40-G40,0)</f>
        <v/>
      </c>
      <c r="N40" s="13">
        <f>IF(M40&gt;=0,"Green",IF(ABS(M40)&lt;='00_Readme'!$B$14,"Amber","Red"))</f>
        <v/>
      </c>
    </row>
    <row r="41">
      <c r="A41" s="27" t="inlineStr">
        <is>
          <t>Apr 2026</t>
        </is>
      </c>
      <c r="B41" s="27" t="inlineStr">
        <is>
          <t>E-commerce</t>
        </is>
      </c>
      <c r="C41" s="27" t="inlineStr">
        <is>
          <t>Beverages</t>
        </is>
      </c>
      <c r="D41" s="44" t="n">
        <v>155</v>
      </c>
      <c r="E41" s="44" t="n">
        <v>109</v>
      </c>
      <c r="F41" s="44" t="n">
        <v>74</v>
      </c>
      <c r="G41" s="43">
        <f>'02_P&amp;L'!E9</f>
        <v/>
      </c>
      <c r="H41" s="42">
        <f>'02_P&amp;L'!E24</f>
        <v/>
      </c>
      <c r="I41" s="44" t="n">
        <v>350</v>
      </c>
      <c r="J41" s="44" t="n">
        <v>556</v>
      </c>
      <c r="K41" s="44" t="n">
        <v>133</v>
      </c>
      <c r="L41" s="46">
        <f>IFERROR(K41/D41,0)</f>
        <v/>
      </c>
      <c r="M41" s="43">
        <f>IFERROR(K41/J41-G41,0)</f>
        <v/>
      </c>
      <c r="N41" s="13">
        <f>IF(M41&gt;=0,"Green",IF(ABS(M41)&lt;='00_Readme'!$B$14,"Amber","Red"))</f>
        <v/>
      </c>
    </row>
    <row r="42">
      <c r="A42" s="27" t="inlineStr">
        <is>
          <t>May 2026</t>
        </is>
      </c>
      <c r="B42" s="27" t="inlineStr">
        <is>
          <t>General Trade</t>
        </is>
      </c>
      <c r="C42" s="27" t="inlineStr">
        <is>
          <t>Personal Care</t>
        </is>
      </c>
      <c r="D42" s="44" t="n">
        <v>92</v>
      </c>
      <c r="E42" s="44" t="n">
        <v>63</v>
      </c>
      <c r="F42" s="44" t="n">
        <v>38</v>
      </c>
      <c r="G42" s="43">
        <f>'02_P&amp;L'!F9</f>
        <v/>
      </c>
      <c r="H42" s="42">
        <f>'02_P&amp;L'!F24</f>
        <v/>
      </c>
      <c r="I42" s="44" t="n">
        <v>185</v>
      </c>
      <c r="J42" s="44" t="n">
        <v>358</v>
      </c>
      <c r="K42" s="44" t="n">
        <v>72</v>
      </c>
      <c r="L42" s="46">
        <f>IFERROR(K42/D42,0)</f>
        <v/>
      </c>
      <c r="M42" s="43">
        <f>IFERROR(K42/J42-G42,0)</f>
        <v/>
      </c>
      <c r="N42" s="13">
        <f>IF(M42&gt;=0,"Green",IF(ABS(M42)&lt;='00_Readme'!$B$14,"Amber","Red"))</f>
        <v/>
      </c>
    </row>
    <row r="43">
      <c r="A43" s="27" t="inlineStr">
        <is>
          <t>May 2026</t>
        </is>
      </c>
      <c r="B43" s="27" t="inlineStr">
        <is>
          <t>General Trade</t>
        </is>
      </c>
      <c r="C43" s="27" t="inlineStr">
        <is>
          <t>Home Care</t>
        </is>
      </c>
      <c r="D43" s="44" t="n">
        <v>103</v>
      </c>
      <c r="E43" s="44" t="n">
        <v>71</v>
      </c>
      <c r="F43" s="44" t="n">
        <v>44</v>
      </c>
      <c r="G43" s="43">
        <f>'02_P&amp;L'!F9</f>
        <v/>
      </c>
      <c r="H43" s="42">
        <f>'02_P&amp;L'!F24</f>
        <v/>
      </c>
      <c r="I43" s="44" t="n">
        <v>215</v>
      </c>
      <c r="J43" s="44" t="n">
        <v>393</v>
      </c>
      <c r="K43" s="44" t="n">
        <v>86</v>
      </c>
      <c r="L43" s="46">
        <f>IFERROR(K43/D43,0)</f>
        <v/>
      </c>
      <c r="M43" s="43">
        <f>IFERROR(K43/J43-G43,0)</f>
        <v/>
      </c>
      <c r="N43" s="13">
        <f>IF(M43&gt;=0,"Green",IF(ABS(M43)&lt;='00_Readme'!$B$14,"Amber","Red"))</f>
        <v/>
      </c>
    </row>
    <row r="44">
      <c r="A44" s="27" t="inlineStr">
        <is>
          <t>May 2026</t>
        </is>
      </c>
      <c r="B44" s="27" t="inlineStr">
        <is>
          <t>General Trade</t>
        </is>
      </c>
      <c r="C44" s="27" t="inlineStr">
        <is>
          <t>Beverages</t>
        </is>
      </c>
      <c r="D44" s="44" t="n">
        <v>114</v>
      </c>
      <c r="E44" s="44" t="n">
        <v>79</v>
      </c>
      <c r="F44" s="44" t="n">
        <v>50</v>
      </c>
      <c r="G44" s="43">
        <f>'02_P&amp;L'!F9</f>
        <v/>
      </c>
      <c r="H44" s="42">
        <f>'02_P&amp;L'!F24</f>
        <v/>
      </c>
      <c r="I44" s="44" t="n">
        <v>245</v>
      </c>
      <c r="J44" s="44" t="n">
        <v>428</v>
      </c>
      <c r="K44" s="44" t="n">
        <v>103</v>
      </c>
      <c r="L44" s="46">
        <f>IFERROR(K44/D44,0)</f>
        <v/>
      </c>
      <c r="M44" s="43">
        <f>IFERROR(K44/J44-G44,0)</f>
        <v/>
      </c>
      <c r="N44" s="13">
        <f>IF(M44&gt;=0,"Green",IF(ABS(M44)&lt;='00_Readme'!$B$14,"Amber","Red"))</f>
        <v/>
      </c>
    </row>
    <row r="45">
      <c r="A45" s="27" t="inlineStr">
        <is>
          <t>May 2026</t>
        </is>
      </c>
      <c r="B45" s="27" t="inlineStr">
        <is>
          <t>Modern Trade</t>
        </is>
      </c>
      <c r="C45" s="27" t="inlineStr">
        <is>
          <t>Personal Care</t>
        </is>
      </c>
      <c r="D45" s="44" t="n">
        <v>114</v>
      </c>
      <c r="E45" s="44" t="n">
        <v>79</v>
      </c>
      <c r="F45" s="44" t="n">
        <v>51</v>
      </c>
      <c r="G45" s="43">
        <f>'02_P&amp;L'!F9</f>
        <v/>
      </c>
      <c r="H45" s="42">
        <f>'02_P&amp;L'!F24</f>
        <v/>
      </c>
      <c r="I45" s="44" t="n">
        <v>240</v>
      </c>
      <c r="J45" s="44" t="n">
        <v>428</v>
      </c>
      <c r="K45" s="44" t="n">
        <v>86</v>
      </c>
      <c r="L45" s="46">
        <f>IFERROR(K45/D45,0)</f>
        <v/>
      </c>
      <c r="M45" s="43">
        <f>IFERROR(K45/J45-G45,0)</f>
        <v/>
      </c>
      <c r="N45" s="13">
        <f>IF(M45&gt;=0,"Green",IF(ABS(M45)&lt;='00_Readme'!$B$14,"Amber","Red"))</f>
        <v/>
      </c>
    </row>
    <row r="46">
      <c r="A46" s="27" t="inlineStr">
        <is>
          <t>May 2026</t>
        </is>
      </c>
      <c r="B46" s="27" t="inlineStr">
        <is>
          <t>Modern Trade</t>
        </is>
      </c>
      <c r="C46" s="27" t="inlineStr">
        <is>
          <t>Home Care</t>
        </is>
      </c>
      <c r="D46" s="44" t="n">
        <v>125</v>
      </c>
      <c r="E46" s="44" t="n">
        <v>87</v>
      </c>
      <c r="F46" s="44" t="n">
        <v>57</v>
      </c>
      <c r="G46" s="43">
        <f>'02_P&amp;L'!F9</f>
        <v/>
      </c>
      <c r="H46" s="42">
        <f>'02_P&amp;L'!F24</f>
        <v/>
      </c>
      <c r="I46" s="44" t="n">
        <v>272</v>
      </c>
      <c r="J46" s="44" t="n">
        <v>463</v>
      </c>
      <c r="K46" s="44" t="n">
        <v>102</v>
      </c>
      <c r="L46" s="46">
        <f>IFERROR(K46/D46,0)</f>
        <v/>
      </c>
      <c r="M46" s="43">
        <f>IFERROR(K46/J46-G46,0)</f>
        <v/>
      </c>
      <c r="N46" s="13">
        <f>IF(M46&gt;=0,"Green",IF(ABS(M46)&lt;='00_Readme'!$B$14,"Amber","Red"))</f>
        <v/>
      </c>
    </row>
    <row r="47">
      <c r="A47" s="27" t="inlineStr">
        <is>
          <t>May 2026</t>
        </is>
      </c>
      <c r="B47" s="27" t="inlineStr">
        <is>
          <t>Modern Trade</t>
        </is>
      </c>
      <c r="C47" s="27" t="inlineStr">
        <is>
          <t>Beverages</t>
        </is>
      </c>
      <c r="D47" s="44" t="n">
        <v>136</v>
      </c>
      <c r="E47" s="44" t="n">
        <v>95</v>
      </c>
      <c r="F47" s="44" t="n">
        <v>63</v>
      </c>
      <c r="G47" s="43">
        <f>'02_P&amp;L'!F9</f>
        <v/>
      </c>
      <c r="H47" s="42">
        <f>'02_P&amp;L'!F24</f>
        <v/>
      </c>
      <c r="I47" s="44" t="n">
        <v>304</v>
      </c>
      <c r="J47" s="44" t="n">
        <v>498</v>
      </c>
      <c r="K47" s="44" t="n">
        <v>120</v>
      </c>
      <c r="L47" s="46">
        <f>IFERROR(K47/D47,0)</f>
        <v/>
      </c>
      <c r="M47" s="43">
        <f>IFERROR(K47/J47-G47,0)</f>
        <v/>
      </c>
      <c r="N47" s="13">
        <f>IF(M47&gt;=0,"Green",IF(ABS(M47)&lt;='00_Readme'!$B$14,"Amber","Red"))</f>
        <v/>
      </c>
    </row>
    <row r="48">
      <c r="A48" s="27" t="inlineStr">
        <is>
          <t>May 2026</t>
        </is>
      </c>
      <c r="B48" s="27" t="inlineStr">
        <is>
          <t>E-commerce</t>
        </is>
      </c>
      <c r="C48" s="27" t="inlineStr">
        <is>
          <t>Personal Care</t>
        </is>
      </c>
      <c r="D48" s="44" t="n">
        <v>136</v>
      </c>
      <c r="E48" s="44" t="n">
        <v>95</v>
      </c>
      <c r="F48" s="44" t="n">
        <v>64</v>
      </c>
      <c r="G48" s="43">
        <f>'02_P&amp;L'!F9</f>
        <v/>
      </c>
      <c r="H48" s="42">
        <f>'02_P&amp;L'!F24</f>
        <v/>
      </c>
      <c r="I48" s="44" t="n">
        <v>298</v>
      </c>
      <c r="J48" s="44" t="n">
        <v>498</v>
      </c>
      <c r="K48" s="44" t="n">
        <v>100</v>
      </c>
      <c r="L48" s="46">
        <f>IFERROR(K48/D48,0)</f>
        <v/>
      </c>
      <c r="M48" s="43">
        <f>IFERROR(K48/J48-G48,0)</f>
        <v/>
      </c>
      <c r="N48" s="13">
        <f>IF(M48&gt;=0,"Green",IF(ABS(M48)&lt;='00_Readme'!$B$14,"Amber","Red"))</f>
        <v/>
      </c>
    </row>
    <row r="49">
      <c r="A49" s="27" t="inlineStr">
        <is>
          <t>May 2026</t>
        </is>
      </c>
      <c r="B49" s="27" t="inlineStr">
        <is>
          <t>E-commerce</t>
        </is>
      </c>
      <c r="C49" s="27" t="inlineStr">
        <is>
          <t>Home Care</t>
        </is>
      </c>
      <c r="D49" s="44" t="n">
        <v>147</v>
      </c>
      <c r="E49" s="44" t="n">
        <v>103</v>
      </c>
      <c r="F49" s="44" t="n">
        <v>70</v>
      </c>
      <c r="G49" s="43">
        <f>'02_P&amp;L'!F9</f>
        <v/>
      </c>
      <c r="H49" s="42">
        <f>'02_P&amp;L'!F24</f>
        <v/>
      </c>
      <c r="I49" s="44" t="n">
        <v>331</v>
      </c>
      <c r="J49" s="44" t="n">
        <v>533</v>
      </c>
      <c r="K49" s="44" t="n">
        <v>117</v>
      </c>
      <c r="L49" s="46">
        <f>IFERROR(K49/D49,0)</f>
        <v/>
      </c>
      <c r="M49" s="43">
        <f>IFERROR(K49/J49-G49,0)</f>
        <v/>
      </c>
      <c r="N49" s="13">
        <f>IF(M49&gt;=0,"Green",IF(ABS(M49)&lt;='00_Readme'!$B$14,"Amber","Red"))</f>
        <v/>
      </c>
    </row>
    <row r="50">
      <c r="A50" s="27" t="inlineStr">
        <is>
          <t>May 2026</t>
        </is>
      </c>
      <c r="B50" s="27" t="inlineStr">
        <is>
          <t>E-commerce</t>
        </is>
      </c>
      <c r="C50" s="27" t="inlineStr">
        <is>
          <t>Beverages</t>
        </is>
      </c>
      <c r="D50" s="44" t="n">
        <v>158</v>
      </c>
      <c r="E50" s="44" t="n">
        <v>111</v>
      </c>
      <c r="F50" s="44" t="n">
        <v>76</v>
      </c>
      <c r="G50" s="43">
        <f>'02_P&amp;L'!F9</f>
        <v/>
      </c>
      <c r="H50" s="42">
        <f>'02_P&amp;L'!F24</f>
        <v/>
      </c>
      <c r="I50" s="44" t="n">
        <v>331</v>
      </c>
      <c r="J50" s="44" t="n">
        <v>568</v>
      </c>
      <c r="K50" s="44" t="n">
        <v>136</v>
      </c>
      <c r="L50" s="46">
        <f>IFERROR(K50/D50,0)</f>
        <v/>
      </c>
      <c r="M50" s="43">
        <f>IFERROR(K50/J50-G50,0)</f>
        <v/>
      </c>
      <c r="N50" s="13">
        <f>IF(M50&gt;=0,"Green",IF(ABS(M50)&lt;='00_Readme'!$B$14,"Amber","Red"))</f>
        <v/>
      </c>
    </row>
    <row r="51">
      <c r="A51" s="27" t="inlineStr">
        <is>
          <t>Jun 2026</t>
        </is>
      </c>
      <c r="B51" s="27" t="inlineStr">
        <is>
          <t>General Trade</t>
        </is>
      </c>
      <c r="C51" s="27" t="inlineStr">
        <is>
          <t>Personal Care</t>
        </is>
      </c>
      <c r="D51" s="44" t="n">
        <v>95</v>
      </c>
      <c r="E51" s="44" t="n">
        <v>65</v>
      </c>
      <c r="F51" s="44" t="n">
        <v>40</v>
      </c>
      <c r="G51" s="43">
        <f>'02_P&amp;L'!G9</f>
        <v/>
      </c>
      <c r="H51" s="42">
        <f>'02_P&amp;L'!G24</f>
        <v/>
      </c>
      <c r="I51" s="44" t="n">
        <v>197</v>
      </c>
      <c r="J51" s="44" t="n">
        <v>370</v>
      </c>
      <c r="K51" s="44" t="n">
        <v>74</v>
      </c>
      <c r="L51" s="46">
        <f>IFERROR(K51/D51,0)</f>
        <v/>
      </c>
      <c r="M51" s="43">
        <f>IFERROR(K51/J51-G51,0)</f>
        <v/>
      </c>
      <c r="N51" s="13">
        <f>IF(M51&gt;=0,"Green",IF(ABS(M51)&lt;='00_Readme'!$B$14,"Amber","Red"))</f>
        <v/>
      </c>
    </row>
    <row r="52">
      <c r="A52" s="27" t="inlineStr">
        <is>
          <t>Jun 2026</t>
        </is>
      </c>
      <c r="B52" s="27" t="inlineStr">
        <is>
          <t>General Trade</t>
        </is>
      </c>
      <c r="C52" s="27" t="inlineStr">
        <is>
          <t>Home Care</t>
        </is>
      </c>
      <c r="D52" s="44" t="n">
        <v>106</v>
      </c>
      <c r="E52" s="44" t="n">
        <v>73</v>
      </c>
      <c r="F52" s="44" t="n">
        <v>46</v>
      </c>
      <c r="G52" s="43">
        <f>'02_P&amp;L'!G9</f>
        <v/>
      </c>
      <c r="H52" s="42">
        <f>'02_P&amp;L'!G24</f>
        <v/>
      </c>
      <c r="I52" s="44" t="n">
        <v>227</v>
      </c>
      <c r="J52" s="44" t="n">
        <v>405</v>
      </c>
      <c r="K52" s="44" t="n">
        <v>89</v>
      </c>
      <c r="L52" s="46">
        <f>IFERROR(K52/D52,0)</f>
        <v/>
      </c>
      <c r="M52" s="43">
        <f>IFERROR(K52/J52-G52,0)</f>
        <v/>
      </c>
      <c r="N52" s="13">
        <f>IF(M52&gt;=0,"Green",IF(ABS(M52)&lt;='00_Readme'!$B$14,"Amber","Red"))</f>
        <v/>
      </c>
    </row>
    <row r="53">
      <c r="A53" s="27" t="inlineStr">
        <is>
          <t>Jun 2026</t>
        </is>
      </c>
      <c r="B53" s="27" t="inlineStr">
        <is>
          <t>General Trade</t>
        </is>
      </c>
      <c r="C53" s="27" t="inlineStr">
        <is>
          <t>Beverages</t>
        </is>
      </c>
      <c r="D53" s="44" t="n">
        <v>117</v>
      </c>
      <c r="E53" s="44" t="n">
        <v>81</v>
      </c>
      <c r="F53" s="44" t="n">
        <v>52</v>
      </c>
      <c r="G53" s="43">
        <f>'02_P&amp;L'!G9</f>
        <v/>
      </c>
      <c r="H53" s="42">
        <f>'02_P&amp;L'!G24</f>
        <v/>
      </c>
      <c r="I53" s="44" t="n">
        <v>259</v>
      </c>
      <c r="J53" s="44" t="n">
        <v>440</v>
      </c>
      <c r="K53" s="44" t="n">
        <v>106</v>
      </c>
      <c r="L53" s="46">
        <f>IFERROR(K53/D53,0)</f>
        <v/>
      </c>
      <c r="M53" s="43">
        <f>IFERROR(K53/J53-G53,0)</f>
        <v/>
      </c>
      <c r="N53" s="13">
        <f>IF(M53&gt;=0,"Green",IF(ABS(M53)&lt;='00_Readme'!$B$14,"Amber","Red"))</f>
        <v/>
      </c>
    </row>
    <row r="54">
      <c r="A54" s="27" t="inlineStr">
        <is>
          <t>Jun 2026</t>
        </is>
      </c>
      <c r="B54" s="27" t="inlineStr">
        <is>
          <t>Modern Trade</t>
        </is>
      </c>
      <c r="C54" s="27" t="inlineStr">
        <is>
          <t>Personal Care</t>
        </is>
      </c>
      <c r="D54" s="44" t="n">
        <v>117</v>
      </c>
      <c r="E54" s="44" t="n">
        <v>81</v>
      </c>
      <c r="F54" s="44" t="n">
        <v>53</v>
      </c>
      <c r="G54" s="43">
        <f>'02_P&amp;L'!G9</f>
        <v/>
      </c>
      <c r="H54" s="42">
        <f>'02_P&amp;L'!G24</f>
        <v/>
      </c>
      <c r="I54" s="44" t="n">
        <v>254</v>
      </c>
      <c r="J54" s="44" t="n">
        <v>440</v>
      </c>
      <c r="K54" s="44" t="n">
        <v>88</v>
      </c>
      <c r="L54" s="46">
        <f>IFERROR(K54/D54,0)</f>
        <v/>
      </c>
      <c r="M54" s="43">
        <f>IFERROR(K54/J54-G54,0)</f>
        <v/>
      </c>
      <c r="N54" s="13">
        <f>IF(M54&gt;=0,"Green",IF(ABS(M54)&lt;='00_Readme'!$B$14,"Amber","Red"))</f>
        <v/>
      </c>
    </row>
    <row r="55">
      <c r="A55" s="27" t="inlineStr">
        <is>
          <t>Jun 2026</t>
        </is>
      </c>
      <c r="B55" s="27" t="inlineStr">
        <is>
          <t>Modern Trade</t>
        </is>
      </c>
      <c r="C55" s="27" t="inlineStr">
        <is>
          <t>Home Care</t>
        </is>
      </c>
      <c r="D55" s="44" t="n">
        <v>128</v>
      </c>
      <c r="E55" s="44" t="n">
        <v>89</v>
      </c>
      <c r="F55" s="44" t="n">
        <v>59</v>
      </c>
      <c r="G55" s="43">
        <f>'02_P&amp;L'!G9</f>
        <v/>
      </c>
      <c r="H55" s="42">
        <f>'02_P&amp;L'!G24</f>
        <v/>
      </c>
      <c r="I55" s="44" t="n">
        <v>286</v>
      </c>
      <c r="J55" s="44" t="n">
        <v>475</v>
      </c>
      <c r="K55" s="44" t="n">
        <v>104</v>
      </c>
      <c r="L55" s="46">
        <f>IFERROR(K55/D55,0)</f>
        <v/>
      </c>
      <c r="M55" s="43">
        <f>IFERROR(K55/J55-G55,0)</f>
        <v/>
      </c>
      <c r="N55" s="13">
        <f>IF(M55&gt;=0,"Green",IF(ABS(M55)&lt;='00_Readme'!$B$14,"Amber","Red"))</f>
        <v/>
      </c>
    </row>
    <row r="56">
      <c r="A56" s="27" t="inlineStr">
        <is>
          <t>Jun 2026</t>
        </is>
      </c>
      <c r="B56" s="27" t="inlineStr">
        <is>
          <t>Modern Trade</t>
        </is>
      </c>
      <c r="C56" s="27" t="inlineStr">
        <is>
          <t>Beverages</t>
        </is>
      </c>
      <c r="D56" s="44" t="n">
        <v>139</v>
      </c>
      <c r="E56" s="44" t="n">
        <v>97</v>
      </c>
      <c r="F56" s="44" t="n">
        <v>65</v>
      </c>
      <c r="G56" s="43">
        <f>'02_P&amp;L'!G9</f>
        <v/>
      </c>
      <c r="H56" s="42">
        <f>'02_P&amp;L'!G24</f>
        <v/>
      </c>
      <c r="I56" s="44" t="n">
        <v>289</v>
      </c>
      <c r="J56" s="44" t="n">
        <v>510</v>
      </c>
      <c r="K56" s="44" t="n">
        <v>122</v>
      </c>
      <c r="L56" s="46">
        <f>IFERROR(K56/D56,0)</f>
        <v/>
      </c>
      <c r="M56" s="43">
        <f>IFERROR(K56/J56-G56,0)</f>
        <v/>
      </c>
      <c r="N56" s="13">
        <f>IF(M56&gt;=0,"Green",IF(ABS(M56)&lt;='00_Readme'!$B$14,"Amber","Red"))</f>
        <v/>
      </c>
    </row>
    <row r="57">
      <c r="A57" s="27" t="inlineStr">
        <is>
          <t>Jun 2026</t>
        </is>
      </c>
      <c r="B57" s="27" t="inlineStr">
        <is>
          <t>E-commerce</t>
        </is>
      </c>
      <c r="C57" s="27" t="inlineStr">
        <is>
          <t>Personal Care</t>
        </is>
      </c>
      <c r="D57" s="44" t="n">
        <v>139</v>
      </c>
      <c r="E57" s="44" t="n">
        <v>97</v>
      </c>
      <c r="F57" s="44" t="n">
        <v>66</v>
      </c>
      <c r="G57" s="43">
        <f>'02_P&amp;L'!G9</f>
        <v/>
      </c>
      <c r="H57" s="42">
        <f>'02_P&amp;L'!G24</f>
        <v/>
      </c>
      <c r="I57" s="44" t="n">
        <v>313</v>
      </c>
      <c r="J57" s="44" t="n">
        <v>510</v>
      </c>
      <c r="K57" s="44" t="n">
        <v>102</v>
      </c>
      <c r="L57" s="46">
        <f>IFERROR(K57/D57,0)</f>
        <v/>
      </c>
      <c r="M57" s="43">
        <f>IFERROR(K57/J57-G57,0)</f>
        <v/>
      </c>
      <c r="N57" s="13">
        <f>IF(M57&gt;=0,"Green",IF(ABS(M57)&lt;='00_Readme'!$B$14,"Amber","Red"))</f>
        <v/>
      </c>
    </row>
    <row r="58">
      <c r="A58" s="27" t="inlineStr">
        <is>
          <t>Jun 2026</t>
        </is>
      </c>
      <c r="B58" s="27" t="inlineStr">
        <is>
          <t>E-commerce</t>
        </is>
      </c>
      <c r="C58" s="27" t="inlineStr">
        <is>
          <t>Home Care</t>
        </is>
      </c>
      <c r="D58" s="44" t="n">
        <v>150</v>
      </c>
      <c r="E58" s="44" t="n">
        <v>105</v>
      </c>
      <c r="F58" s="44" t="n">
        <v>72</v>
      </c>
      <c r="G58" s="43">
        <f>'02_P&amp;L'!G9</f>
        <v/>
      </c>
      <c r="H58" s="42">
        <f>'02_P&amp;L'!G24</f>
        <v/>
      </c>
      <c r="I58" s="44" t="n">
        <v>314</v>
      </c>
      <c r="J58" s="44" t="n">
        <v>545</v>
      </c>
      <c r="K58" s="44" t="n">
        <v>120</v>
      </c>
      <c r="L58" s="46">
        <f>IFERROR(K58/D58,0)</f>
        <v/>
      </c>
      <c r="M58" s="43">
        <f>IFERROR(K58/J58-G58,0)</f>
        <v/>
      </c>
      <c r="N58" s="13">
        <f>IF(M58&gt;=0,"Green",IF(ABS(M58)&lt;='00_Readme'!$B$14,"Amber","Red"))</f>
        <v/>
      </c>
    </row>
    <row r="59">
      <c r="A59" s="27" t="inlineStr">
        <is>
          <t>Jun 2026</t>
        </is>
      </c>
      <c r="B59" s="27" t="inlineStr">
        <is>
          <t>E-commerce</t>
        </is>
      </c>
      <c r="C59" s="27" t="inlineStr">
        <is>
          <t>Beverages</t>
        </is>
      </c>
      <c r="D59" s="44" t="n">
        <v>161</v>
      </c>
      <c r="E59" s="44" t="n">
        <v>113</v>
      </c>
      <c r="F59" s="44" t="n">
        <v>78</v>
      </c>
      <c r="G59" s="43">
        <f>'02_P&amp;L'!G9</f>
        <v/>
      </c>
      <c r="H59" s="42">
        <f>'02_P&amp;L'!G24</f>
        <v/>
      </c>
      <c r="I59" s="44" t="n">
        <v>347</v>
      </c>
      <c r="J59" s="44" t="n">
        <v>580</v>
      </c>
      <c r="K59" s="44" t="n">
        <v>139</v>
      </c>
      <c r="L59" s="46">
        <f>IFERROR(K59/D59,0)</f>
        <v/>
      </c>
      <c r="M59" s="43">
        <f>IFERROR(K59/J59-G59,0)</f>
        <v/>
      </c>
      <c r="N59" s="13">
        <f>IF(M59&gt;=0,"Green",IF(ABS(M59)&lt;='00_Readme'!$B$14,"Amber","Red"))</f>
        <v/>
      </c>
    </row>
    <row r="60">
      <c r="A60" s="27" t="inlineStr">
        <is>
          <t>Jul 2026</t>
        </is>
      </c>
      <c r="B60" s="27" t="inlineStr">
        <is>
          <t>General Trade</t>
        </is>
      </c>
      <c r="C60" s="27" t="inlineStr">
        <is>
          <t>Personal Care</t>
        </is>
      </c>
      <c r="D60" s="44" t="n">
        <v>98</v>
      </c>
      <c r="E60" s="44" t="n">
        <v>67</v>
      </c>
      <c r="F60" s="44" t="n">
        <v>42</v>
      </c>
      <c r="G60" s="43">
        <f>'02_P&amp;L'!H9</f>
        <v/>
      </c>
      <c r="H60" s="42">
        <f>'02_P&amp;L'!H24</f>
        <v/>
      </c>
      <c r="I60" s="44" t="n">
        <v>209</v>
      </c>
      <c r="J60" s="44" t="n">
        <v>382</v>
      </c>
      <c r="K60" s="44" t="n">
        <v>76</v>
      </c>
      <c r="L60" s="46">
        <f>IFERROR(K60/D60,0)</f>
        <v/>
      </c>
      <c r="M60" s="43">
        <f>IFERROR(K60/J60-G60,0)</f>
        <v/>
      </c>
      <c r="N60" s="13">
        <f>IF(M60&gt;=0,"Green",IF(ABS(M60)&lt;='00_Readme'!$B$14,"Amber","Red"))</f>
        <v/>
      </c>
    </row>
    <row r="61">
      <c r="A61" s="27" t="inlineStr">
        <is>
          <t>Jul 2026</t>
        </is>
      </c>
      <c r="B61" s="27" t="inlineStr">
        <is>
          <t>General Trade</t>
        </is>
      </c>
      <c r="C61" s="27" t="inlineStr">
        <is>
          <t>Home Care</t>
        </is>
      </c>
      <c r="D61" s="44" t="n">
        <v>109</v>
      </c>
      <c r="E61" s="44" t="n">
        <v>75</v>
      </c>
      <c r="F61" s="44" t="n">
        <v>48</v>
      </c>
      <c r="G61" s="43">
        <f>'02_P&amp;L'!H9</f>
        <v/>
      </c>
      <c r="H61" s="42">
        <f>'02_P&amp;L'!H24</f>
        <v/>
      </c>
      <c r="I61" s="44" t="n">
        <v>240</v>
      </c>
      <c r="J61" s="44" t="n">
        <v>417</v>
      </c>
      <c r="K61" s="44" t="n">
        <v>92</v>
      </c>
      <c r="L61" s="46">
        <f>IFERROR(K61/D61,0)</f>
        <v/>
      </c>
      <c r="M61" s="43">
        <f>IFERROR(K61/J61-G61,0)</f>
        <v/>
      </c>
      <c r="N61" s="13">
        <f>IF(M61&gt;=0,"Green",IF(ABS(M61)&lt;='00_Readme'!$B$14,"Amber","Red"))</f>
        <v/>
      </c>
    </row>
    <row r="62">
      <c r="A62" s="27" t="inlineStr">
        <is>
          <t>Jul 2026</t>
        </is>
      </c>
      <c r="B62" s="27" t="inlineStr">
        <is>
          <t>General Trade</t>
        </is>
      </c>
      <c r="C62" s="27" t="inlineStr">
        <is>
          <t>Beverages</t>
        </is>
      </c>
      <c r="D62" s="44" t="n">
        <v>120</v>
      </c>
      <c r="E62" s="44" t="n">
        <v>83</v>
      </c>
      <c r="F62" s="44" t="n">
        <v>54</v>
      </c>
      <c r="G62" s="43">
        <f>'02_P&amp;L'!H9</f>
        <v/>
      </c>
      <c r="H62" s="42">
        <f>'02_P&amp;L'!H24</f>
        <v/>
      </c>
      <c r="I62" s="44" t="n">
        <v>247</v>
      </c>
      <c r="J62" s="44" t="n">
        <v>452</v>
      </c>
      <c r="K62" s="44" t="n">
        <v>108</v>
      </c>
      <c r="L62" s="46">
        <f>IFERROR(K62/D62,0)</f>
        <v/>
      </c>
      <c r="M62" s="43">
        <f>IFERROR(K62/J62-G62,0)</f>
        <v/>
      </c>
      <c r="N62" s="13">
        <f>IF(M62&gt;=0,"Green",IF(ABS(M62)&lt;='00_Readme'!$B$14,"Amber","Red"))</f>
        <v/>
      </c>
    </row>
    <row r="63">
      <c r="A63" s="27" t="inlineStr">
        <is>
          <t>Jul 2026</t>
        </is>
      </c>
      <c r="B63" s="27" t="inlineStr">
        <is>
          <t>Modern Trade</t>
        </is>
      </c>
      <c r="C63" s="27" t="inlineStr">
        <is>
          <t>Personal Care</t>
        </is>
      </c>
      <c r="D63" s="44" t="n">
        <v>120</v>
      </c>
      <c r="E63" s="44" t="n">
        <v>83</v>
      </c>
      <c r="F63" s="44" t="n">
        <v>55</v>
      </c>
      <c r="G63" s="43">
        <f>'02_P&amp;L'!H9</f>
        <v/>
      </c>
      <c r="H63" s="42">
        <f>'02_P&amp;L'!H24</f>
        <v/>
      </c>
      <c r="I63" s="44" t="n">
        <v>267</v>
      </c>
      <c r="J63" s="44" t="n">
        <v>452</v>
      </c>
      <c r="K63" s="44" t="n">
        <v>90</v>
      </c>
      <c r="L63" s="46">
        <f>IFERROR(K63/D63,0)</f>
        <v/>
      </c>
      <c r="M63" s="43">
        <f>IFERROR(K63/J63-G63,0)</f>
        <v/>
      </c>
      <c r="N63" s="13">
        <f>IF(M63&gt;=0,"Green",IF(ABS(M63)&lt;='00_Readme'!$B$14,"Amber","Red"))</f>
        <v/>
      </c>
    </row>
    <row r="64">
      <c r="A64" s="27" t="inlineStr">
        <is>
          <t>Jul 2026</t>
        </is>
      </c>
      <c r="B64" s="27" t="inlineStr">
        <is>
          <t>Modern Trade</t>
        </is>
      </c>
      <c r="C64" s="27" t="inlineStr">
        <is>
          <t>Home Care</t>
        </is>
      </c>
      <c r="D64" s="44" t="n">
        <v>131</v>
      </c>
      <c r="E64" s="44" t="n">
        <v>91</v>
      </c>
      <c r="F64" s="44" t="n">
        <v>61</v>
      </c>
      <c r="G64" s="43">
        <f>'02_P&amp;L'!H9</f>
        <v/>
      </c>
      <c r="H64" s="42">
        <f>'02_P&amp;L'!H24</f>
        <v/>
      </c>
      <c r="I64" s="44" t="n">
        <v>272</v>
      </c>
      <c r="J64" s="44" t="n">
        <v>487</v>
      </c>
      <c r="K64" s="44" t="n">
        <v>107</v>
      </c>
      <c r="L64" s="46">
        <f>IFERROR(K64/D64,0)</f>
        <v/>
      </c>
      <c r="M64" s="43">
        <f>IFERROR(K64/J64-G64,0)</f>
        <v/>
      </c>
      <c r="N64" s="13">
        <f>IF(M64&gt;=0,"Green",IF(ABS(M64)&lt;='00_Readme'!$B$14,"Amber","Red"))</f>
        <v/>
      </c>
    </row>
    <row r="65">
      <c r="A65" s="27" t="inlineStr">
        <is>
          <t>Jul 2026</t>
        </is>
      </c>
      <c r="B65" s="27" t="inlineStr">
        <is>
          <t>Modern Trade</t>
        </is>
      </c>
      <c r="C65" s="27" t="inlineStr">
        <is>
          <t>Beverages</t>
        </is>
      </c>
      <c r="D65" s="44" t="n">
        <v>142</v>
      </c>
      <c r="E65" s="44" t="n">
        <v>99</v>
      </c>
      <c r="F65" s="44" t="n">
        <v>67</v>
      </c>
      <c r="G65" s="43">
        <f>'02_P&amp;L'!H9</f>
        <v/>
      </c>
      <c r="H65" s="42">
        <f>'02_P&amp;L'!H24</f>
        <v/>
      </c>
      <c r="I65" s="44" t="n">
        <v>303</v>
      </c>
      <c r="J65" s="44" t="n">
        <v>522</v>
      </c>
      <c r="K65" s="44" t="n">
        <v>125</v>
      </c>
      <c r="L65" s="46">
        <f>IFERROR(K65/D65,0)</f>
        <v/>
      </c>
      <c r="M65" s="43">
        <f>IFERROR(K65/J65-G65,0)</f>
        <v/>
      </c>
      <c r="N65" s="13">
        <f>IF(M65&gt;=0,"Green",IF(ABS(M65)&lt;='00_Readme'!$B$14,"Amber","Red"))</f>
        <v/>
      </c>
    </row>
    <row r="66">
      <c r="A66" s="27" t="inlineStr">
        <is>
          <t>Jul 2026</t>
        </is>
      </c>
      <c r="B66" s="27" t="inlineStr">
        <is>
          <t>E-commerce</t>
        </is>
      </c>
      <c r="C66" s="27" t="inlineStr">
        <is>
          <t>Personal Care</t>
        </is>
      </c>
      <c r="D66" s="44" t="n">
        <v>142</v>
      </c>
      <c r="E66" s="44" t="n">
        <v>99</v>
      </c>
      <c r="F66" s="44" t="n">
        <v>68</v>
      </c>
      <c r="G66" s="43">
        <f>'02_P&amp;L'!H9</f>
        <v/>
      </c>
      <c r="H66" s="42">
        <f>'02_P&amp;L'!H24</f>
        <v/>
      </c>
      <c r="I66" s="44" t="n">
        <v>297</v>
      </c>
      <c r="J66" s="44" t="n">
        <v>522</v>
      </c>
      <c r="K66" s="44" t="n">
        <v>104</v>
      </c>
      <c r="L66" s="46">
        <f>IFERROR(K66/D66,0)</f>
        <v/>
      </c>
      <c r="M66" s="43">
        <f>IFERROR(K66/J66-G66,0)</f>
        <v/>
      </c>
      <c r="N66" s="13">
        <f>IF(M66&gt;=0,"Green",IF(ABS(M66)&lt;='00_Readme'!$B$14,"Amber","Red"))</f>
        <v/>
      </c>
    </row>
    <row r="67">
      <c r="A67" s="27" t="inlineStr">
        <is>
          <t>Jul 2026</t>
        </is>
      </c>
      <c r="B67" s="27" t="inlineStr">
        <is>
          <t>E-commerce</t>
        </is>
      </c>
      <c r="C67" s="27" t="inlineStr">
        <is>
          <t>Home Care</t>
        </is>
      </c>
      <c r="D67" s="44" t="n">
        <v>153</v>
      </c>
      <c r="E67" s="44" t="n">
        <v>107</v>
      </c>
      <c r="F67" s="44" t="n">
        <v>74</v>
      </c>
      <c r="G67" s="43">
        <f>'02_P&amp;L'!H9</f>
        <v/>
      </c>
      <c r="H67" s="42">
        <f>'02_P&amp;L'!H24</f>
        <v/>
      </c>
      <c r="I67" s="44" t="n">
        <v>329</v>
      </c>
      <c r="J67" s="44" t="n">
        <v>557</v>
      </c>
      <c r="K67" s="44" t="n">
        <v>123</v>
      </c>
      <c r="L67" s="46">
        <f>IFERROR(K67/D67,0)</f>
        <v/>
      </c>
      <c r="M67" s="43">
        <f>IFERROR(K67/J67-G67,0)</f>
        <v/>
      </c>
      <c r="N67" s="13">
        <f>IF(M67&gt;=0,"Green",IF(ABS(M67)&lt;='00_Readme'!$B$14,"Amber","Red"))</f>
        <v/>
      </c>
    </row>
    <row r="68">
      <c r="A68" s="27" t="inlineStr">
        <is>
          <t>Jul 2026</t>
        </is>
      </c>
      <c r="B68" s="27" t="inlineStr">
        <is>
          <t>E-commerce</t>
        </is>
      </c>
      <c r="C68" s="27" t="inlineStr">
        <is>
          <t>Beverages</t>
        </is>
      </c>
      <c r="D68" s="44" t="n">
        <v>164</v>
      </c>
      <c r="E68" s="44" t="n">
        <v>115</v>
      </c>
      <c r="F68" s="44" t="n">
        <v>80</v>
      </c>
      <c r="G68" s="43">
        <f>'02_P&amp;L'!H9</f>
        <v/>
      </c>
      <c r="H68" s="42">
        <f>'02_P&amp;L'!H24</f>
        <v/>
      </c>
      <c r="I68" s="44" t="n">
        <v>363</v>
      </c>
      <c r="J68" s="44" t="n">
        <v>592</v>
      </c>
      <c r="K68" s="44" t="n">
        <v>142</v>
      </c>
      <c r="L68" s="46">
        <f>IFERROR(K68/D68,0)</f>
        <v/>
      </c>
      <c r="M68" s="43">
        <f>IFERROR(K68/J68-G68,0)</f>
        <v/>
      </c>
      <c r="N68" s="13">
        <f>IF(M68&gt;=0,"Green",IF(ABS(M68)&lt;='00_Readme'!$B$14,"Amber","Red"))</f>
        <v/>
      </c>
    </row>
    <row r="69">
      <c r="A69" s="27" t="inlineStr">
        <is>
          <t>Aug 2026</t>
        </is>
      </c>
      <c r="B69" s="27" t="inlineStr">
        <is>
          <t>General Trade</t>
        </is>
      </c>
      <c r="C69" s="27" t="inlineStr">
        <is>
          <t>Personal Care</t>
        </is>
      </c>
      <c r="D69" s="44" t="n">
        <v>101</v>
      </c>
      <c r="E69" s="44" t="n">
        <v>69</v>
      </c>
      <c r="F69" s="44" t="n">
        <v>44</v>
      </c>
      <c r="G69" s="43">
        <f>'02_P&amp;L'!I9</f>
        <v/>
      </c>
      <c r="H69" s="42">
        <f>'02_P&amp;L'!I24</f>
        <v/>
      </c>
      <c r="I69" s="44" t="n">
        <v>221</v>
      </c>
      <c r="J69" s="44" t="n">
        <v>394</v>
      </c>
      <c r="K69" s="44" t="n">
        <v>79</v>
      </c>
      <c r="L69" s="46">
        <f>IFERROR(K69/D69,0)</f>
        <v/>
      </c>
      <c r="M69" s="43">
        <f>IFERROR(K69/J69-G69,0)</f>
        <v/>
      </c>
      <c r="N69" s="13">
        <f>IF(M69&gt;=0,"Green",IF(ABS(M69)&lt;='00_Readme'!$B$14,"Amber","Red"))</f>
        <v/>
      </c>
    </row>
    <row r="70">
      <c r="A70" s="27" t="inlineStr">
        <is>
          <t>Aug 2026</t>
        </is>
      </c>
      <c r="B70" s="27" t="inlineStr">
        <is>
          <t>General Trade</t>
        </is>
      </c>
      <c r="C70" s="27" t="inlineStr">
        <is>
          <t>Home Care</t>
        </is>
      </c>
      <c r="D70" s="44" t="n">
        <v>112</v>
      </c>
      <c r="E70" s="44" t="n">
        <v>77</v>
      </c>
      <c r="F70" s="44" t="n">
        <v>50</v>
      </c>
      <c r="G70" s="43">
        <f>'02_P&amp;L'!I9</f>
        <v/>
      </c>
      <c r="H70" s="42">
        <f>'02_P&amp;L'!I24</f>
        <v/>
      </c>
      <c r="I70" s="44" t="n">
        <v>229</v>
      </c>
      <c r="J70" s="44" t="n">
        <v>429</v>
      </c>
      <c r="K70" s="44" t="n">
        <v>94</v>
      </c>
      <c r="L70" s="46">
        <f>IFERROR(K70/D70,0)</f>
        <v/>
      </c>
      <c r="M70" s="43">
        <f>IFERROR(K70/J70-G70,0)</f>
        <v/>
      </c>
      <c r="N70" s="13">
        <f>IF(M70&gt;=0,"Green",IF(ABS(M70)&lt;='00_Readme'!$B$14,"Amber","Red"))</f>
        <v/>
      </c>
    </row>
    <row r="71">
      <c r="A71" s="27" t="inlineStr">
        <is>
          <t>Aug 2026</t>
        </is>
      </c>
      <c r="B71" s="27" t="inlineStr">
        <is>
          <t>General Trade</t>
        </is>
      </c>
      <c r="C71" s="27" t="inlineStr">
        <is>
          <t>Beverages</t>
        </is>
      </c>
      <c r="D71" s="44" t="n">
        <v>123</v>
      </c>
      <c r="E71" s="44" t="n">
        <v>85</v>
      </c>
      <c r="F71" s="44" t="n">
        <v>56</v>
      </c>
      <c r="G71" s="43">
        <f>'02_P&amp;L'!I9</f>
        <v/>
      </c>
      <c r="H71" s="42">
        <f>'02_P&amp;L'!I24</f>
        <v/>
      </c>
      <c r="I71" s="44" t="n">
        <v>260</v>
      </c>
      <c r="J71" s="44" t="n">
        <v>464</v>
      </c>
      <c r="K71" s="44" t="n">
        <v>111</v>
      </c>
      <c r="L71" s="46">
        <f>IFERROR(K71/D71,0)</f>
        <v/>
      </c>
      <c r="M71" s="43">
        <f>IFERROR(K71/J71-G71,0)</f>
        <v/>
      </c>
      <c r="N71" s="13">
        <f>IF(M71&gt;=0,"Green",IF(ABS(M71)&lt;='00_Readme'!$B$14,"Amber","Red"))</f>
        <v/>
      </c>
    </row>
    <row r="72">
      <c r="A72" s="27" t="inlineStr">
        <is>
          <t>Aug 2026</t>
        </is>
      </c>
      <c r="B72" s="27" t="inlineStr">
        <is>
          <t>Modern Trade</t>
        </is>
      </c>
      <c r="C72" s="27" t="inlineStr">
        <is>
          <t>Personal Care</t>
        </is>
      </c>
      <c r="D72" s="44" t="n">
        <v>123</v>
      </c>
      <c r="E72" s="44" t="n">
        <v>85</v>
      </c>
      <c r="F72" s="44" t="n">
        <v>57</v>
      </c>
      <c r="G72" s="43">
        <f>'02_P&amp;L'!I9</f>
        <v/>
      </c>
      <c r="H72" s="42">
        <f>'02_P&amp;L'!I24</f>
        <v/>
      </c>
      <c r="I72" s="44" t="n">
        <v>254</v>
      </c>
      <c r="J72" s="44" t="n">
        <v>464</v>
      </c>
      <c r="K72" s="44" t="n">
        <v>93</v>
      </c>
      <c r="L72" s="46">
        <f>IFERROR(K72/D72,0)</f>
        <v/>
      </c>
      <c r="M72" s="43">
        <f>IFERROR(K72/J72-G72,0)</f>
        <v/>
      </c>
      <c r="N72" s="13">
        <f>IF(M72&gt;=0,"Green",IF(ABS(M72)&lt;='00_Readme'!$B$14,"Amber","Red"))</f>
        <v/>
      </c>
    </row>
    <row r="73">
      <c r="A73" s="27" t="inlineStr">
        <is>
          <t>Aug 2026</t>
        </is>
      </c>
      <c r="B73" s="27" t="inlineStr">
        <is>
          <t>Modern Trade</t>
        </is>
      </c>
      <c r="C73" s="27" t="inlineStr">
        <is>
          <t>Home Care</t>
        </is>
      </c>
      <c r="D73" s="44" t="n">
        <v>134</v>
      </c>
      <c r="E73" s="44" t="n">
        <v>93</v>
      </c>
      <c r="F73" s="44" t="n">
        <v>63</v>
      </c>
      <c r="G73" s="43">
        <f>'02_P&amp;L'!I9</f>
        <v/>
      </c>
      <c r="H73" s="42">
        <f>'02_P&amp;L'!I24</f>
        <v/>
      </c>
      <c r="I73" s="44" t="n">
        <v>286</v>
      </c>
      <c r="J73" s="44" t="n">
        <v>499</v>
      </c>
      <c r="K73" s="44" t="n">
        <v>110</v>
      </c>
      <c r="L73" s="46">
        <f>IFERROR(K73/D73,0)</f>
        <v/>
      </c>
      <c r="M73" s="43">
        <f>IFERROR(K73/J73-G73,0)</f>
        <v/>
      </c>
      <c r="N73" s="13">
        <f>IF(M73&gt;=0,"Green",IF(ABS(M73)&lt;='00_Readme'!$B$14,"Amber","Red"))</f>
        <v/>
      </c>
    </row>
    <row r="74">
      <c r="A74" s="27" t="inlineStr">
        <is>
          <t>Aug 2026</t>
        </is>
      </c>
      <c r="B74" s="27" t="inlineStr">
        <is>
          <t>Modern Trade</t>
        </is>
      </c>
      <c r="C74" s="27" t="inlineStr">
        <is>
          <t>Beverages</t>
        </is>
      </c>
      <c r="D74" s="44" t="n">
        <v>145</v>
      </c>
      <c r="E74" s="44" t="n">
        <v>101</v>
      </c>
      <c r="F74" s="44" t="n">
        <v>69</v>
      </c>
      <c r="G74" s="43">
        <f>'02_P&amp;L'!I9</f>
        <v/>
      </c>
      <c r="H74" s="42">
        <f>'02_P&amp;L'!I24</f>
        <v/>
      </c>
      <c r="I74" s="44" t="n">
        <v>318</v>
      </c>
      <c r="J74" s="44" t="n">
        <v>534</v>
      </c>
      <c r="K74" s="44" t="n">
        <v>128</v>
      </c>
      <c r="L74" s="46">
        <f>IFERROR(K74/D74,0)</f>
        <v/>
      </c>
      <c r="M74" s="43">
        <f>IFERROR(K74/J74-G74,0)</f>
        <v/>
      </c>
      <c r="N74" s="13">
        <f>IF(M74&gt;=0,"Green",IF(ABS(M74)&lt;='00_Readme'!$B$14,"Amber","Red"))</f>
        <v/>
      </c>
    </row>
    <row r="75">
      <c r="A75" s="27" t="inlineStr">
        <is>
          <t>Aug 2026</t>
        </is>
      </c>
      <c r="B75" s="27" t="inlineStr">
        <is>
          <t>E-commerce</t>
        </is>
      </c>
      <c r="C75" s="27" t="inlineStr">
        <is>
          <t>Personal Care</t>
        </is>
      </c>
      <c r="D75" s="44" t="n">
        <v>145</v>
      </c>
      <c r="E75" s="44" t="n">
        <v>101</v>
      </c>
      <c r="F75" s="44" t="n">
        <v>70</v>
      </c>
      <c r="G75" s="43">
        <f>'02_P&amp;L'!I9</f>
        <v/>
      </c>
      <c r="H75" s="42">
        <f>'02_P&amp;L'!I24</f>
        <v/>
      </c>
      <c r="I75" s="44" t="n">
        <v>311</v>
      </c>
      <c r="J75" s="44" t="n">
        <v>534</v>
      </c>
      <c r="K75" s="44" t="n">
        <v>107</v>
      </c>
      <c r="L75" s="46">
        <f>IFERROR(K75/D75,0)</f>
        <v/>
      </c>
      <c r="M75" s="43">
        <f>IFERROR(K75/J75-G75,0)</f>
        <v/>
      </c>
      <c r="N75" s="13">
        <f>IF(M75&gt;=0,"Green",IF(ABS(M75)&lt;='00_Readme'!$B$14,"Amber","Red"))</f>
        <v/>
      </c>
    </row>
    <row r="76">
      <c r="A76" s="27" t="inlineStr">
        <is>
          <t>Aug 2026</t>
        </is>
      </c>
      <c r="B76" s="27" t="inlineStr">
        <is>
          <t>E-commerce</t>
        </is>
      </c>
      <c r="C76" s="27" t="inlineStr">
        <is>
          <t>Home Care</t>
        </is>
      </c>
      <c r="D76" s="44" t="n">
        <v>156</v>
      </c>
      <c r="E76" s="44" t="n">
        <v>109</v>
      </c>
      <c r="F76" s="44" t="n">
        <v>76</v>
      </c>
      <c r="G76" s="43">
        <f>'02_P&amp;L'!I9</f>
        <v/>
      </c>
      <c r="H76" s="42">
        <f>'02_P&amp;L'!I24</f>
        <v/>
      </c>
      <c r="I76" s="44" t="n">
        <v>344</v>
      </c>
      <c r="J76" s="44" t="n">
        <v>569</v>
      </c>
      <c r="K76" s="44" t="n">
        <v>125</v>
      </c>
      <c r="L76" s="46">
        <f>IFERROR(K76/D76,0)</f>
        <v/>
      </c>
      <c r="M76" s="43">
        <f>IFERROR(K76/J76-G76,0)</f>
        <v/>
      </c>
      <c r="N76" s="13">
        <f>IF(M76&gt;=0,"Green",IF(ABS(M76)&lt;='00_Readme'!$B$14,"Amber","Red"))</f>
        <v/>
      </c>
    </row>
    <row r="77">
      <c r="A77" s="27" t="inlineStr">
        <is>
          <t>Aug 2026</t>
        </is>
      </c>
      <c r="B77" s="27" t="inlineStr">
        <is>
          <t>E-commerce</t>
        </is>
      </c>
      <c r="C77" s="27" t="inlineStr">
        <is>
          <t>Beverages</t>
        </is>
      </c>
      <c r="D77" s="44" t="n">
        <v>167</v>
      </c>
      <c r="E77" s="44" t="n">
        <v>117</v>
      </c>
      <c r="F77" s="44" t="n">
        <v>82</v>
      </c>
      <c r="G77" s="43">
        <f>'02_P&amp;L'!I9</f>
        <v/>
      </c>
      <c r="H77" s="42">
        <f>'02_P&amp;L'!I24</f>
        <v/>
      </c>
      <c r="I77" s="44" t="n">
        <v>379</v>
      </c>
      <c r="J77" s="44" t="n">
        <v>604</v>
      </c>
      <c r="K77" s="44" t="n">
        <v>145</v>
      </c>
      <c r="L77" s="46">
        <f>IFERROR(K77/D77,0)</f>
        <v/>
      </c>
      <c r="M77" s="43">
        <f>IFERROR(K77/J77-G77,0)</f>
        <v/>
      </c>
      <c r="N77" s="13">
        <f>IF(M77&gt;=0,"Green",IF(ABS(M77)&lt;='00_Readme'!$B$14,"Amber","Red"))</f>
        <v/>
      </c>
    </row>
    <row r="78">
      <c r="A78" s="27" t="inlineStr">
        <is>
          <t>Sep 2026</t>
        </is>
      </c>
      <c r="B78" s="27" t="inlineStr">
        <is>
          <t>General Trade</t>
        </is>
      </c>
      <c r="C78" s="27" t="inlineStr">
        <is>
          <t>Personal Care</t>
        </is>
      </c>
      <c r="D78" s="44" t="n">
        <v>104</v>
      </c>
      <c r="E78" s="44" t="n">
        <v>71</v>
      </c>
      <c r="F78" s="44" t="n">
        <v>46</v>
      </c>
      <c r="G78" s="43">
        <f>'02_P&amp;L'!J9</f>
        <v/>
      </c>
      <c r="H78" s="42">
        <f>'02_P&amp;L'!J24</f>
        <v/>
      </c>
      <c r="I78" s="44" t="n">
        <v>212</v>
      </c>
      <c r="J78" s="44" t="n">
        <v>406</v>
      </c>
      <c r="K78" s="44" t="n">
        <v>81</v>
      </c>
      <c r="L78" s="46">
        <f>IFERROR(K78/D78,0)</f>
        <v/>
      </c>
      <c r="M78" s="43">
        <f>IFERROR(K78/J78-G78,0)</f>
        <v/>
      </c>
      <c r="N78" s="13">
        <f>IF(M78&gt;=0,"Green",IF(ABS(M78)&lt;='00_Readme'!$B$14,"Amber","Red"))</f>
        <v/>
      </c>
    </row>
    <row r="79">
      <c r="A79" s="27" t="inlineStr">
        <is>
          <t>Sep 2026</t>
        </is>
      </c>
      <c r="B79" s="27" t="inlineStr">
        <is>
          <t>General Trade</t>
        </is>
      </c>
      <c r="C79" s="27" t="inlineStr">
        <is>
          <t>Home Care</t>
        </is>
      </c>
      <c r="D79" s="44" t="n">
        <v>115</v>
      </c>
      <c r="E79" s="44" t="n">
        <v>79</v>
      </c>
      <c r="F79" s="44" t="n">
        <v>52</v>
      </c>
      <c r="G79" s="43">
        <f>'02_P&amp;L'!J9</f>
        <v/>
      </c>
      <c r="H79" s="42">
        <f>'02_P&amp;L'!J24</f>
        <v/>
      </c>
      <c r="I79" s="44" t="n">
        <v>242</v>
      </c>
      <c r="J79" s="44" t="n">
        <v>441</v>
      </c>
      <c r="K79" s="44" t="n">
        <v>97</v>
      </c>
      <c r="L79" s="46">
        <f>IFERROR(K79/D79,0)</f>
        <v/>
      </c>
      <c r="M79" s="43">
        <f>IFERROR(K79/J79-G79,0)</f>
        <v/>
      </c>
      <c r="N79" s="13">
        <f>IF(M79&gt;=0,"Green",IF(ABS(M79)&lt;='00_Readme'!$B$14,"Amber","Red"))</f>
        <v/>
      </c>
    </row>
    <row r="80">
      <c r="A80" s="27" t="inlineStr">
        <is>
          <t>Sep 2026</t>
        </is>
      </c>
      <c r="B80" s="27" t="inlineStr">
        <is>
          <t>General Trade</t>
        </is>
      </c>
      <c r="C80" s="27" t="inlineStr">
        <is>
          <t>Beverages</t>
        </is>
      </c>
      <c r="D80" s="44" t="n">
        <v>126</v>
      </c>
      <c r="E80" s="44" t="n">
        <v>87</v>
      </c>
      <c r="F80" s="44" t="n">
        <v>58</v>
      </c>
      <c r="G80" s="43">
        <f>'02_P&amp;L'!J9</f>
        <v/>
      </c>
      <c r="H80" s="42">
        <f>'02_P&amp;L'!J24</f>
        <v/>
      </c>
      <c r="I80" s="44" t="n">
        <v>274</v>
      </c>
      <c r="J80" s="44" t="n">
        <v>476</v>
      </c>
      <c r="K80" s="44" t="n">
        <v>114</v>
      </c>
      <c r="L80" s="46">
        <f>IFERROR(K80/D80,0)</f>
        <v/>
      </c>
      <c r="M80" s="43">
        <f>IFERROR(K80/J80-G80,0)</f>
        <v/>
      </c>
      <c r="N80" s="13">
        <f>IF(M80&gt;=0,"Green",IF(ABS(M80)&lt;='00_Readme'!$B$14,"Amber","Red"))</f>
        <v/>
      </c>
    </row>
    <row r="81">
      <c r="A81" s="27" t="inlineStr">
        <is>
          <t>Sep 2026</t>
        </is>
      </c>
      <c r="B81" s="27" t="inlineStr">
        <is>
          <t>Modern Trade</t>
        </is>
      </c>
      <c r="C81" s="27" t="inlineStr">
        <is>
          <t>Personal Care</t>
        </is>
      </c>
      <c r="D81" s="44" t="n">
        <v>126</v>
      </c>
      <c r="E81" s="44" t="n">
        <v>87</v>
      </c>
      <c r="F81" s="44" t="n">
        <v>59</v>
      </c>
      <c r="G81" s="43">
        <f>'02_P&amp;L'!J9</f>
        <v/>
      </c>
      <c r="H81" s="42">
        <f>'02_P&amp;L'!J24</f>
        <v/>
      </c>
      <c r="I81" s="44" t="n">
        <v>268</v>
      </c>
      <c r="J81" s="44" t="n">
        <v>476</v>
      </c>
      <c r="K81" s="44" t="n">
        <v>95</v>
      </c>
      <c r="L81" s="46">
        <f>IFERROR(K81/D81,0)</f>
        <v/>
      </c>
      <c r="M81" s="43">
        <f>IFERROR(K81/J81-G81,0)</f>
        <v/>
      </c>
      <c r="N81" s="13">
        <f>IF(M81&gt;=0,"Green",IF(ABS(M81)&lt;='00_Readme'!$B$14,"Amber","Red"))</f>
        <v/>
      </c>
    </row>
    <row r="82">
      <c r="A82" s="27" t="inlineStr">
        <is>
          <t>Sep 2026</t>
        </is>
      </c>
      <c r="B82" s="27" t="inlineStr">
        <is>
          <t>Modern Trade</t>
        </is>
      </c>
      <c r="C82" s="27" t="inlineStr">
        <is>
          <t>Home Care</t>
        </is>
      </c>
      <c r="D82" s="44" t="n">
        <v>137</v>
      </c>
      <c r="E82" s="44" t="n">
        <v>95</v>
      </c>
      <c r="F82" s="44" t="n">
        <v>65</v>
      </c>
      <c r="G82" s="43">
        <f>'02_P&amp;L'!J9</f>
        <v/>
      </c>
      <c r="H82" s="42">
        <f>'02_P&amp;L'!J24</f>
        <v/>
      </c>
      <c r="I82" s="44" t="n">
        <v>300</v>
      </c>
      <c r="J82" s="44" t="n">
        <v>511</v>
      </c>
      <c r="K82" s="44" t="n">
        <v>112</v>
      </c>
      <c r="L82" s="46">
        <f>IFERROR(K82/D82,0)</f>
        <v/>
      </c>
      <c r="M82" s="43">
        <f>IFERROR(K82/J82-G82,0)</f>
        <v/>
      </c>
      <c r="N82" s="13">
        <f>IF(M82&gt;=0,"Green",IF(ABS(M82)&lt;='00_Readme'!$B$14,"Amber","Red"))</f>
        <v/>
      </c>
    </row>
    <row r="83">
      <c r="A83" s="27" t="inlineStr">
        <is>
          <t>Sep 2026</t>
        </is>
      </c>
      <c r="B83" s="27" t="inlineStr">
        <is>
          <t>Modern Trade</t>
        </is>
      </c>
      <c r="C83" s="27" t="inlineStr">
        <is>
          <t>Beverages</t>
        </is>
      </c>
      <c r="D83" s="44" t="n">
        <v>148</v>
      </c>
      <c r="E83" s="44" t="n">
        <v>103</v>
      </c>
      <c r="F83" s="44" t="n">
        <v>71</v>
      </c>
      <c r="G83" s="43">
        <f>'02_P&amp;L'!J9</f>
        <v/>
      </c>
      <c r="H83" s="42">
        <f>'02_P&amp;L'!J24</f>
        <v/>
      </c>
      <c r="I83" s="44" t="n">
        <v>333</v>
      </c>
      <c r="J83" s="44" t="n">
        <v>546</v>
      </c>
      <c r="K83" s="44" t="n">
        <v>131</v>
      </c>
      <c r="L83" s="46">
        <f>IFERROR(K83/D83,0)</f>
        <v/>
      </c>
      <c r="M83" s="43">
        <f>IFERROR(K83/J83-G83,0)</f>
        <v/>
      </c>
      <c r="N83" s="13">
        <f>IF(M83&gt;=0,"Green",IF(ABS(M83)&lt;='00_Readme'!$B$14,"Amber","Red"))</f>
        <v/>
      </c>
    </row>
    <row r="84">
      <c r="A84" s="27" t="inlineStr">
        <is>
          <t>Sep 2026</t>
        </is>
      </c>
      <c r="B84" s="27" t="inlineStr">
        <is>
          <t>E-commerce</t>
        </is>
      </c>
      <c r="C84" s="27" t="inlineStr">
        <is>
          <t>Personal Care</t>
        </is>
      </c>
      <c r="D84" s="44" t="n">
        <v>148</v>
      </c>
      <c r="E84" s="44" t="n">
        <v>103</v>
      </c>
      <c r="F84" s="44" t="n">
        <v>72</v>
      </c>
      <c r="G84" s="43">
        <f>'02_P&amp;L'!J9</f>
        <v/>
      </c>
      <c r="H84" s="42">
        <f>'02_P&amp;L'!J24</f>
        <v/>
      </c>
      <c r="I84" s="44" t="n">
        <v>326</v>
      </c>
      <c r="J84" s="44" t="n">
        <v>546</v>
      </c>
      <c r="K84" s="44" t="n">
        <v>109</v>
      </c>
      <c r="L84" s="46">
        <f>IFERROR(K84/D84,0)</f>
        <v/>
      </c>
      <c r="M84" s="43">
        <f>IFERROR(K84/J84-G84,0)</f>
        <v/>
      </c>
      <c r="N84" s="13">
        <f>IF(M84&gt;=0,"Green",IF(ABS(M84)&lt;='00_Readme'!$B$14,"Amber","Red"))</f>
        <v/>
      </c>
    </row>
    <row r="85">
      <c r="A85" s="27" t="inlineStr">
        <is>
          <t>Sep 2026</t>
        </is>
      </c>
      <c r="B85" s="27" t="inlineStr">
        <is>
          <t>E-commerce</t>
        </is>
      </c>
      <c r="C85" s="27" t="inlineStr">
        <is>
          <t>Home Care</t>
        </is>
      </c>
      <c r="D85" s="44" t="n">
        <v>159</v>
      </c>
      <c r="E85" s="44" t="n">
        <v>111</v>
      </c>
      <c r="F85" s="44" t="n">
        <v>78</v>
      </c>
      <c r="G85" s="43">
        <f>'02_P&amp;L'!J9</f>
        <v/>
      </c>
      <c r="H85" s="42">
        <f>'02_P&amp;L'!J24</f>
        <v/>
      </c>
      <c r="I85" s="44" t="n">
        <v>360</v>
      </c>
      <c r="J85" s="44" t="n">
        <v>581</v>
      </c>
      <c r="K85" s="44" t="n">
        <v>128</v>
      </c>
      <c r="L85" s="46">
        <f>IFERROR(K85/D85,0)</f>
        <v/>
      </c>
      <c r="M85" s="43">
        <f>IFERROR(K85/J85-G85,0)</f>
        <v/>
      </c>
      <c r="N85" s="13">
        <f>IF(M85&gt;=0,"Green",IF(ABS(M85)&lt;='00_Readme'!$B$14,"Amber","Red"))</f>
        <v/>
      </c>
    </row>
    <row r="86">
      <c r="A86" s="27" t="inlineStr">
        <is>
          <t>Sep 2026</t>
        </is>
      </c>
      <c r="B86" s="27" t="inlineStr">
        <is>
          <t>E-commerce</t>
        </is>
      </c>
      <c r="C86" s="27" t="inlineStr">
        <is>
          <t>Beverages</t>
        </is>
      </c>
      <c r="D86" s="44" t="n">
        <v>170</v>
      </c>
      <c r="E86" s="44" t="n">
        <v>119</v>
      </c>
      <c r="F86" s="44" t="n">
        <v>84</v>
      </c>
      <c r="G86" s="43">
        <f>'02_P&amp;L'!J9</f>
        <v/>
      </c>
      <c r="H86" s="42">
        <f>'02_P&amp;L'!J24</f>
        <v/>
      </c>
      <c r="I86" s="44" t="n">
        <v>358</v>
      </c>
      <c r="J86" s="44" t="n">
        <v>616</v>
      </c>
      <c r="K86" s="44" t="n">
        <v>148</v>
      </c>
      <c r="L86" s="46">
        <f>IFERROR(K86/D86,0)</f>
        <v/>
      </c>
      <c r="M86" s="43">
        <f>IFERROR(K86/J86-G86,0)</f>
        <v/>
      </c>
      <c r="N86" s="13">
        <f>IF(M86&gt;=0,"Green",IF(ABS(M86)&lt;='00_Readme'!$B$14,"Amber","Red"))</f>
        <v/>
      </c>
    </row>
    <row r="87">
      <c r="A87" s="27" t="inlineStr">
        <is>
          <t>Oct 2026</t>
        </is>
      </c>
      <c r="B87" s="27" t="inlineStr">
        <is>
          <t>General Trade</t>
        </is>
      </c>
      <c r="C87" s="27" t="inlineStr">
        <is>
          <t>Personal Care</t>
        </is>
      </c>
      <c r="D87" s="44" t="n">
        <v>107</v>
      </c>
      <c r="E87" s="44" t="n">
        <v>73</v>
      </c>
      <c r="F87" s="44" t="n">
        <v>48</v>
      </c>
      <c r="G87" s="43">
        <f>'02_P&amp;L'!K9</f>
        <v/>
      </c>
      <c r="H87" s="42">
        <f>'02_P&amp;L'!K24</f>
        <v/>
      </c>
      <c r="I87" s="44" t="n">
        <v>225</v>
      </c>
      <c r="J87" s="44" t="n">
        <v>418</v>
      </c>
      <c r="K87" s="44" t="n">
        <v>84</v>
      </c>
      <c r="L87" s="46">
        <f>IFERROR(K87/D87,0)</f>
        <v/>
      </c>
      <c r="M87" s="43">
        <f>IFERROR(K87/J87-G87,0)</f>
        <v/>
      </c>
      <c r="N87" s="13">
        <f>IF(M87&gt;=0,"Green",IF(ABS(M87)&lt;='00_Readme'!$B$14,"Amber","Red"))</f>
        <v/>
      </c>
    </row>
    <row r="88">
      <c r="A88" s="27" t="inlineStr">
        <is>
          <t>Oct 2026</t>
        </is>
      </c>
      <c r="B88" s="27" t="inlineStr">
        <is>
          <t>General Trade</t>
        </is>
      </c>
      <c r="C88" s="27" t="inlineStr">
        <is>
          <t>Home Care</t>
        </is>
      </c>
      <c r="D88" s="44" t="n">
        <v>118</v>
      </c>
      <c r="E88" s="44" t="n">
        <v>81</v>
      </c>
      <c r="F88" s="44" t="n">
        <v>54</v>
      </c>
      <c r="G88" s="43">
        <f>'02_P&amp;L'!K9</f>
        <v/>
      </c>
      <c r="H88" s="42">
        <f>'02_P&amp;L'!K24</f>
        <v/>
      </c>
      <c r="I88" s="44" t="n">
        <v>256</v>
      </c>
      <c r="J88" s="44" t="n">
        <v>453</v>
      </c>
      <c r="K88" s="44" t="n">
        <v>100</v>
      </c>
      <c r="L88" s="46">
        <f>IFERROR(K88/D88,0)</f>
        <v/>
      </c>
      <c r="M88" s="43">
        <f>IFERROR(K88/J88-G88,0)</f>
        <v/>
      </c>
      <c r="N88" s="13">
        <f>IF(M88&gt;=0,"Green",IF(ABS(M88)&lt;='00_Readme'!$B$14,"Amber","Red"))</f>
        <v/>
      </c>
    </row>
    <row r="89">
      <c r="A89" s="27" t="inlineStr">
        <is>
          <t>Oct 2026</t>
        </is>
      </c>
      <c r="B89" s="27" t="inlineStr">
        <is>
          <t>General Trade</t>
        </is>
      </c>
      <c r="C89" s="27" t="inlineStr">
        <is>
          <t>Beverages</t>
        </is>
      </c>
      <c r="D89" s="44" t="n">
        <v>129</v>
      </c>
      <c r="E89" s="44" t="n">
        <v>89</v>
      </c>
      <c r="F89" s="44" t="n">
        <v>60</v>
      </c>
      <c r="G89" s="43">
        <f>'02_P&amp;L'!K9</f>
        <v/>
      </c>
      <c r="H89" s="42">
        <f>'02_P&amp;L'!K24</f>
        <v/>
      </c>
      <c r="I89" s="44" t="n">
        <v>288</v>
      </c>
      <c r="J89" s="44" t="n">
        <v>488</v>
      </c>
      <c r="K89" s="44" t="n">
        <v>117</v>
      </c>
      <c r="L89" s="46">
        <f>IFERROR(K89/D89,0)</f>
        <v/>
      </c>
      <c r="M89" s="43">
        <f>IFERROR(K89/J89-G89,0)</f>
        <v/>
      </c>
      <c r="N89" s="13">
        <f>IF(M89&gt;=0,"Green",IF(ABS(M89)&lt;='00_Readme'!$B$14,"Amber","Red"))</f>
        <v/>
      </c>
    </row>
    <row r="90">
      <c r="A90" s="27" t="inlineStr">
        <is>
          <t>Oct 2026</t>
        </is>
      </c>
      <c r="B90" s="27" t="inlineStr">
        <is>
          <t>Modern Trade</t>
        </is>
      </c>
      <c r="C90" s="27" t="inlineStr">
        <is>
          <t>Personal Care</t>
        </is>
      </c>
      <c r="D90" s="44" t="n">
        <v>129</v>
      </c>
      <c r="E90" s="44" t="n">
        <v>89</v>
      </c>
      <c r="F90" s="44" t="n">
        <v>61</v>
      </c>
      <c r="G90" s="43">
        <f>'02_P&amp;L'!K9</f>
        <v/>
      </c>
      <c r="H90" s="42">
        <f>'02_P&amp;L'!K24</f>
        <v/>
      </c>
      <c r="I90" s="44" t="n">
        <v>282</v>
      </c>
      <c r="J90" s="44" t="n">
        <v>488</v>
      </c>
      <c r="K90" s="44" t="n">
        <v>98</v>
      </c>
      <c r="L90" s="46">
        <f>IFERROR(K90/D90,0)</f>
        <v/>
      </c>
      <c r="M90" s="43">
        <f>IFERROR(K90/J90-G90,0)</f>
        <v/>
      </c>
      <c r="N90" s="13">
        <f>IF(M90&gt;=0,"Green",IF(ABS(M90)&lt;='00_Readme'!$B$14,"Amber","Red"))</f>
        <v/>
      </c>
    </row>
    <row r="91">
      <c r="A91" s="27" t="inlineStr">
        <is>
          <t>Oct 2026</t>
        </is>
      </c>
      <c r="B91" s="27" t="inlineStr">
        <is>
          <t>Modern Trade</t>
        </is>
      </c>
      <c r="C91" s="27" t="inlineStr">
        <is>
          <t>Home Care</t>
        </is>
      </c>
      <c r="D91" s="44" t="n">
        <v>140</v>
      </c>
      <c r="E91" s="44" t="n">
        <v>97</v>
      </c>
      <c r="F91" s="44" t="n">
        <v>67</v>
      </c>
      <c r="G91" s="43">
        <f>'02_P&amp;L'!K9</f>
        <v/>
      </c>
      <c r="H91" s="42">
        <f>'02_P&amp;L'!K24</f>
        <v/>
      </c>
      <c r="I91" s="44" t="n">
        <v>315</v>
      </c>
      <c r="J91" s="44" t="n">
        <v>523</v>
      </c>
      <c r="K91" s="44" t="n">
        <v>115</v>
      </c>
      <c r="L91" s="46">
        <f>IFERROR(K91/D91,0)</f>
        <v/>
      </c>
      <c r="M91" s="43">
        <f>IFERROR(K91/J91-G91,0)</f>
        <v/>
      </c>
      <c r="N91" s="13">
        <f>IF(M91&gt;=0,"Green",IF(ABS(M91)&lt;='00_Readme'!$B$14,"Amber","Red"))</f>
        <v/>
      </c>
    </row>
    <row r="92">
      <c r="A92" s="27" t="inlineStr">
        <is>
          <t>Oct 2026</t>
        </is>
      </c>
      <c r="B92" s="27" t="inlineStr">
        <is>
          <t>Modern Trade</t>
        </is>
      </c>
      <c r="C92" s="27" t="inlineStr">
        <is>
          <t>Beverages</t>
        </is>
      </c>
      <c r="D92" s="44" t="n">
        <v>151</v>
      </c>
      <c r="E92" s="44" t="n">
        <v>105</v>
      </c>
      <c r="F92" s="44" t="n">
        <v>73</v>
      </c>
      <c r="G92" s="43">
        <f>'02_P&amp;L'!K9</f>
        <v/>
      </c>
      <c r="H92" s="42">
        <f>'02_P&amp;L'!K24</f>
        <v/>
      </c>
      <c r="I92" s="44" t="n">
        <v>316</v>
      </c>
      <c r="J92" s="44" t="n">
        <v>558</v>
      </c>
      <c r="K92" s="44" t="n">
        <v>134</v>
      </c>
      <c r="L92" s="46">
        <f>IFERROR(K92/D92,0)</f>
        <v/>
      </c>
      <c r="M92" s="43">
        <f>IFERROR(K92/J92-G92,0)</f>
        <v/>
      </c>
      <c r="N92" s="13">
        <f>IF(M92&gt;=0,"Green",IF(ABS(M92)&lt;='00_Readme'!$B$14,"Amber","Red"))</f>
        <v/>
      </c>
    </row>
    <row r="93">
      <c r="A93" s="27" t="inlineStr">
        <is>
          <t>Oct 2026</t>
        </is>
      </c>
      <c r="B93" s="27" t="inlineStr">
        <is>
          <t>E-commerce</t>
        </is>
      </c>
      <c r="C93" s="27" t="inlineStr">
        <is>
          <t>Personal Care</t>
        </is>
      </c>
      <c r="D93" s="44" t="n">
        <v>151</v>
      </c>
      <c r="E93" s="44" t="n">
        <v>105</v>
      </c>
      <c r="F93" s="44" t="n">
        <v>74</v>
      </c>
      <c r="G93" s="43">
        <f>'02_P&amp;L'!K9</f>
        <v/>
      </c>
      <c r="H93" s="42">
        <f>'02_P&amp;L'!K24</f>
        <v/>
      </c>
      <c r="I93" s="44" t="n">
        <v>342</v>
      </c>
      <c r="J93" s="44" t="n">
        <v>558</v>
      </c>
      <c r="K93" s="44" t="n">
        <v>112</v>
      </c>
      <c r="L93" s="46">
        <f>IFERROR(K93/D93,0)</f>
        <v/>
      </c>
      <c r="M93" s="43">
        <f>IFERROR(K93/J93-G93,0)</f>
        <v/>
      </c>
      <c r="N93" s="13">
        <f>IF(M93&gt;=0,"Green",IF(ABS(M93)&lt;='00_Readme'!$B$14,"Amber","Red"))</f>
        <v/>
      </c>
    </row>
    <row r="94">
      <c r="A94" s="27" t="inlineStr">
        <is>
          <t>Oct 2026</t>
        </is>
      </c>
      <c r="B94" s="27" t="inlineStr">
        <is>
          <t>E-commerce</t>
        </is>
      </c>
      <c r="C94" s="27" t="inlineStr">
        <is>
          <t>Home Care</t>
        </is>
      </c>
      <c r="D94" s="44" t="n">
        <v>162</v>
      </c>
      <c r="E94" s="44" t="n">
        <v>113</v>
      </c>
      <c r="F94" s="44" t="n">
        <v>80</v>
      </c>
      <c r="G94" s="43">
        <f>'02_P&amp;L'!K9</f>
        <v/>
      </c>
      <c r="H94" s="42">
        <f>'02_P&amp;L'!K24</f>
        <v/>
      </c>
      <c r="I94" s="44" t="n">
        <v>341</v>
      </c>
      <c r="J94" s="44" t="n">
        <v>593</v>
      </c>
      <c r="K94" s="44" t="n">
        <v>130</v>
      </c>
      <c r="L94" s="46">
        <f>IFERROR(K94/D94,0)</f>
        <v/>
      </c>
      <c r="M94" s="43">
        <f>IFERROR(K94/J94-G94,0)</f>
        <v/>
      </c>
      <c r="N94" s="13">
        <f>IF(M94&gt;=0,"Green",IF(ABS(M94)&lt;='00_Readme'!$B$14,"Amber","Red"))</f>
        <v/>
      </c>
    </row>
    <row r="95">
      <c r="A95" s="27" t="inlineStr">
        <is>
          <t>Oct 2026</t>
        </is>
      </c>
      <c r="B95" s="27" t="inlineStr">
        <is>
          <t>E-commerce</t>
        </is>
      </c>
      <c r="C95" s="27" t="inlineStr">
        <is>
          <t>Beverages</t>
        </is>
      </c>
      <c r="D95" s="44" t="n">
        <v>173</v>
      </c>
      <c r="E95" s="44" t="n">
        <v>121</v>
      </c>
      <c r="F95" s="44" t="n">
        <v>86</v>
      </c>
      <c r="G95" s="43">
        <f>'02_P&amp;L'!K9</f>
        <v/>
      </c>
      <c r="H95" s="42">
        <f>'02_P&amp;L'!K24</f>
        <v/>
      </c>
      <c r="I95" s="44" t="n">
        <v>374</v>
      </c>
      <c r="J95" s="44" t="n">
        <v>628</v>
      </c>
      <c r="K95" s="44" t="n">
        <v>151</v>
      </c>
      <c r="L95" s="46">
        <f>IFERROR(K95/D95,0)</f>
        <v/>
      </c>
      <c r="M95" s="43">
        <f>IFERROR(K95/J95-G95,0)</f>
        <v/>
      </c>
      <c r="N95" s="13">
        <f>IF(M95&gt;=0,"Green",IF(ABS(M95)&lt;='00_Readme'!$B$14,"Amber","Red"))</f>
        <v/>
      </c>
    </row>
    <row r="96">
      <c r="A96" s="27" t="inlineStr">
        <is>
          <t>Nov 2026</t>
        </is>
      </c>
      <c r="B96" s="27" t="inlineStr">
        <is>
          <t>General Trade</t>
        </is>
      </c>
      <c r="C96" s="27" t="inlineStr">
        <is>
          <t>Personal Care</t>
        </is>
      </c>
      <c r="D96" s="44" t="n">
        <v>110</v>
      </c>
      <c r="E96" s="44" t="n">
        <v>75</v>
      </c>
      <c r="F96" s="44" t="n">
        <v>50</v>
      </c>
      <c r="G96" s="43">
        <f>'02_P&amp;L'!L9</f>
        <v/>
      </c>
      <c r="H96" s="42">
        <f>'02_P&amp;L'!L24</f>
        <v/>
      </c>
      <c r="I96" s="44" t="n">
        <v>237</v>
      </c>
      <c r="J96" s="44" t="n">
        <v>430</v>
      </c>
      <c r="K96" s="44" t="n">
        <v>86</v>
      </c>
      <c r="L96" s="46">
        <f>IFERROR(K96/D96,0)</f>
        <v/>
      </c>
      <c r="M96" s="43">
        <f>IFERROR(K96/J96-G96,0)</f>
        <v/>
      </c>
      <c r="N96" s="13">
        <f>IF(M96&gt;=0,"Green",IF(ABS(M96)&lt;='00_Readme'!$B$14,"Amber","Red"))</f>
        <v/>
      </c>
    </row>
    <row r="97">
      <c r="A97" s="27" t="inlineStr">
        <is>
          <t>Nov 2026</t>
        </is>
      </c>
      <c r="B97" s="27" t="inlineStr">
        <is>
          <t>General Trade</t>
        </is>
      </c>
      <c r="C97" s="27" t="inlineStr">
        <is>
          <t>Home Care</t>
        </is>
      </c>
      <c r="D97" s="44" t="n">
        <v>121</v>
      </c>
      <c r="E97" s="44" t="n">
        <v>83</v>
      </c>
      <c r="F97" s="44" t="n">
        <v>56</v>
      </c>
      <c r="G97" s="43">
        <f>'02_P&amp;L'!L9</f>
        <v/>
      </c>
      <c r="H97" s="42">
        <f>'02_P&amp;L'!L24</f>
        <v/>
      </c>
      <c r="I97" s="44" t="n">
        <v>269</v>
      </c>
      <c r="J97" s="44" t="n">
        <v>465</v>
      </c>
      <c r="K97" s="44" t="n">
        <v>102</v>
      </c>
      <c r="L97" s="46">
        <f>IFERROR(K97/D97,0)</f>
        <v/>
      </c>
      <c r="M97" s="43">
        <f>IFERROR(K97/J97-G97,0)</f>
        <v/>
      </c>
      <c r="N97" s="13">
        <f>IF(M97&gt;=0,"Green",IF(ABS(M97)&lt;='00_Readme'!$B$14,"Amber","Red"))</f>
        <v/>
      </c>
    </row>
    <row r="98">
      <c r="A98" s="27" t="inlineStr">
        <is>
          <t>Nov 2026</t>
        </is>
      </c>
      <c r="B98" s="27" t="inlineStr">
        <is>
          <t>General Trade</t>
        </is>
      </c>
      <c r="C98" s="27" t="inlineStr">
        <is>
          <t>Beverages</t>
        </is>
      </c>
      <c r="D98" s="44" t="n">
        <v>132</v>
      </c>
      <c r="E98" s="44" t="n">
        <v>91</v>
      </c>
      <c r="F98" s="44" t="n">
        <v>62</v>
      </c>
      <c r="G98" s="43">
        <f>'02_P&amp;L'!L9</f>
        <v/>
      </c>
      <c r="H98" s="42">
        <f>'02_P&amp;L'!L24</f>
        <v/>
      </c>
      <c r="I98" s="44" t="n">
        <v>274</v>
      </c>
      <c r="J98" s="44" t="n">
        <v>500</v>
      </c>
      <c r="K98" s="44" t="n">
        <v>120</v>
      </c>
      <c r="L98" s="46">
        <f>IFERROR(K98/D98,0)</f>
        <v/>
      </c>
      <c r="M98" s="43">
        <f>IFERROR(K98/J98-G98,0)</f>
        <v/>
      </c>
      <c r="N98" s="13">
        <f>IF(M98&gt;=0,"Green",IF(ABS(M98)&lt;='00_Readme'!$B$14,"Amber","Red"))</f>
        <v/>
      </c>
    </row>
    <row r="99">
      <c r="A99" s="27" t="inlineStr">
        <is>
          <t>Nov 2026</t>
        </is>
      </c>
      <c r="B99" s="27" t="inlineStr">
        <is>
          <t>Modern Trade</t>
        </is>
      </c>
      <c r="C99" s="27" t="inlineStr">
        <is>
          <t>Personal Care</t>
        </is>
      </c>
      <c r="D99" s="44" t="n">
        <v>132</v>
      </c>
      <c r="E99" s="44" t="n">
        <v>91</v>
      </c>
      <c r="F99" s="44" t="n">
        <v>63</v>
      </c>
      <c r="G99" s="43">
        <f>'02_P&amp;L'!L9</f>
        <v/>
      </c>
      <c r="H99" s="42">
        <f>'02_P&amp;L'!L24</f>
        <v/>
      </c>
      <c r="I99" s="44" t="n">
        <v>296</v>
      </c>
      <c r="J99" s="44" t="n">
        <v>500</v>
      </c>
      <c r="K99" s="44" t="n">
        <v>100</v>
      </c>
      <c r="L99" s="46">
        <f>IFERROR(K99/D99,0)</f>
        <v/>
      </c>
      <c r="M99" s="43">
        <f>IFERROR(K99/J99-G99,0)</f>
        <v/>
      </c>
      <c r="N99" s="13">
        <f>IF(M99&gt;=0,"Green",IF(ABS(M99)&lt;='00_Readme'!$B$14,"Amber","Red"))</f>
        <v/>
      </c>
    </row>
    <row r="100">
      <c r="A100" s="27" t="inlineStr">
        <is>
          <t>Nov 2026</t>
        </is>
      </c>
      <c r="B100" s="27" t="inlineStr">
        <is>
          <t>Modern Trade</t>
        </is>
      </c>
      <c r="C100" s="27" t="inlineStr">
        <is>
          <t>Home Care</t>
        </is>
      </c>
      <c r="D100" s="44" t="n">
        <v>143</v>
      </c>
      <c r="E100" s="44" t="n">
        <v>99</v>
      </c>
      <c r="F100" s="44" t="n">
        <v>69</v>
      </c>
      <c r="G100" s="43">
        <f>'02_P&amp;L'!L9</f>
        <v/>
      </c>
      <c r="H100" s="42">
        <f>'02_P&amp;L'!L24</f>
        <v/>
      </c>
      <c r="I100" s="44" t="n">
        <v>299</v>
      </c>
      <c r="J100" s="44" t="n">
        <v>535</v>
      </c>
      <c r="K100" s="44" t="n">
        <v>118</v>
      </c>
      <c r="L100" s="46">
        <f>IFERROR(K100/D100,0)</f>
        <v/>
      </c>
      <c r="M100" s="43">
        <f>IFERROR(K100/J100-G100,0)</f>
        <v/>
      </c>
      <c r="N100" s="13">
        <f>IF(M100&gt;=0,"Green",IF(ABS(M100)&lt;='00_Readme'!$B$14,"Amber","Red"))</f>
        <v/>
      </c>
    </row>
    <row r="101">
      <c r="A101" s="27" t="inlineStr">
        <is>
          <t>Nov 2026</t>
        </is>
      </c>
      <c r="B101" s="27" t="inlineStr">
        <is>
          <t>Modern Trade</t>
        </is>
      </c>
      <c r="C101" s="27" t="inlineStr">
        <is>
          <t>Beverages</t>
        </is>
      </c>
      <c r="D101" s="44" t="n">
        <v>154</v>
      </c>
      <c r="E101" s="44" t="n">
        <v>107</v>
      </c>
      <c r="F101" s="44" t="n">
        <v>75</v>
      </c>
      <c r="G101" s="43">
        <f>'02_P&amp;L'!L9</f>
        <v/>
      </c>
      <c r="H101" s="42">
        <f>'02_P&amp;L'!L24</f>
        <v/>
      </c>
      <c r="I101" s="44" t="n">
        <v>331</v>
      </c>
      <c r="J101" s="44" t="n">
        <v>570</v>
      </c>
      <c r="K101" s="44" t="n">
        <v>137</v>
      </c>
      <c r="L101" s="46">
        <f>IFERROR(K101/D101,0)</f>
        <v/>
      </c>
      <c r="M101" s="43">
        <f>IFERROR(K101/J101-G101,0)</f>
        <v/>
      </c>
      <c r="N101" s="13">
        <f>IF(M101&gt;=0,"Green",IF(ABS(M101)&lt;='00_Readme'!$B$14,"Amber","Red"))</f>
        <v/>
      </c>
    </row>
    <row r="102">
      <c r="A102" s="27" t="inlineStr">
        <is>
          <t>Nov 2026</t>
        </is>
      </c>
      <c r="B102" s="27" t="inlineStr">
        <is>
          <t>E-commerce</t>
        </is>
      </c>
      <c r="C102" s="27" t="inlineStr">
        <is>
          <t>Personal Care</t>
        </is>
      </c>
      <c r="D102" s="44" t="n">
        <v>154</v>
      </c>
      <c r="E102" s="44" t="n">
        <v>107</v>
      </c>
      <c r="F102" s="44" t="n">
        <v>76</v>
      </c>
      <c r="G102" s="43">
        <f>'02_P&amp;L'!L9</f>
        <v/>
      </c>
      <c r="H102" s="42">
        <f>'02_P&amp;L'!L24</f>
        <v/>
      </c>
      <c r="I102" s="44" t="n">
        <v>324</v>
      </c>
      <c r="J102" s="44" t="n">
        <v>570</v>
      </c>
      <c r="K102" s="44" t="n">
        <v>114</v>
      </c>
      <c r="L102" s="46">
        <f>IFERROR(K102/D102,0)</f>
        <v/>
      </c>
      <c r="M102" s="43">
        <f>IFERROR(K102/J102-G102,0)</f>
        <v/>
      </c>
      <c r="N102" s="13">
        <f>IF(M102&gt;=0,"Green",IF(ABS(M102)&lt;='00_Readme'!$B$14,"Amber","Red"))</f>
        <v/>
      </c>
    </row>
    <row r="103">
      <c r="A103" s="27" t="inlineStr">
        <is>
          <t>Nov 2026</t>
        </is>
      </c>
      <c r="B103" s="27" t="inlineStr">
        <is>
          <t>E-commerce</t>
        </is>
      </c>
      <c r="C103" s="27" t="inlineStr">
        <is>
          <t>Home Care</t>
        </is>
      </c>
      <c r="D103" s="44" t="n">
        <v>165</v>
      </c>
      <c r="E103" s="44" t="n">
        <v>115</v>
      </c>
      <c r="F103" s="44" t="n">
        <v>82</v>
      </c>
      <c r="G103" s="43">
        <f>'02_P&amp;L'!L9</f>
        <v/>
      </c>
      <c r="H103" s="42">
        <f>'02_P&amp;L'!L24</f>
        <v/>
      </c>
      <c r="I103" s="44" t="n">
        <v>357</v>
      </c>
      <c r="J103" s="44" t="n">
        <v>605</v>
      </c>
      <c r="K103" s="44" t="n">
        <v>133</v>
      </c>
      <c r="L103" s="46">
        <f>IFERROR(K103/D103,0)</f>
        <v/>
      </c>
      <c r="M103" s="43">
        <f>IFERROR(K103/J103-G103,0)</f>
        <v/>
      </c>
      <c r="N103" s="13">
        <f>IF(M103&gt;=0,"Green",IF(ABS(M103)&lt;='00_Readme'!$B$14,"Amber","Red"))</f>
        <v/>
      </c>
    </row>
    <row r="104">
      <c r="A104" s="27" t="inlineStr">
        <is>
          <t>Nov 2026</t>
        </is>
      </c>
      <c r="B104" s="27" t="inlineStr">
        <is>
          <t>E-commerce</t>
        </is>
      </c>
      <c r="C104" s="27" t="inlineStr">
        <is>
          <t>Beverages</t>
        </is>
      </c>
      <c r="D104" s="44" t="n">
        <v>176</v>
      </c>
      <c r="E104" s="44" t="n">
        <v>123</v>
      </c>
      <c r="F104" s="44" t="n">
        <v>88</v>
      </c>
      <c r="G104" s="43">
        <f>'02_P&amp;L'!L9</f>
        <v/>
      </c>
      <c r="H104" s="42">
        <f>'02_P&amp;L'!L24</f>
        <v/>
      </c>
      <c r="I104" s="44" t="n">
        <v>391</v>
      </c>
      <c r="J104" s="44" t="n">
        <v>640</v>
      </c>
      <c r="K104" s="44" t="n">
        <v>154</v>
      </c>
      <c r="L104" s="46">
        <f>IFERROR(K104/D104,0)</f>
        <v/>
      </c>
      <c r="M104" s="43">
        <f>IFERROR(K104/J104-G104,0)</f>
        <v/>
      </c>
      <c r="N104" s="13">
        <f>IF(M104&gt;=0,"Green",IF(ABS(M104)&lt;='00_Readme'!$B$14,"Amber","Red"))</f>
        <v/>
      </c>
    </row>
    <row r="105">
      <c r="A105" s="27" t="inlineStr">
        <is>
          <t>Dec 2026</t>
        </is>
      </c>
      <c r="B105" s="27" t="inlineStr">
        <is>
          <t>General Trade</t>
        </is>
      </c>
      <c r="C105" s="27" t="inlineStr">
        <is>
          <t>Personal Care</t>
        </is>
      </c>
      <c r="D105" s="44" t="n">
        <v>113</v>
      </c>
      <c r="E105" s="44" t="n">
        <v>77</v>
      </c>
      <c r="F105" s="44" t="n">
        <v>52</v>
      </c>
      <c r="G105" s="43">
        <f>'02_P&amp;L'!M9</f>
        <v/>
      </c>
      <c r="H105" s="42">
        <f>'02_P&amp;L'!M24</f>
        <v/>
      </c>
      <c r="I105" s="44" t="n">
        <v>250</v>
      </c>
      <c r="J105" s="44" t="n">
        <v>442</v>
      </c>
      <c r="K105" s="44" t="n">
        <v>88</v>
      </c>
      <c r="L105" s="46">
        <f>IFERROR(K105/D105,0)</f>
        <v/>
      </c>
      <c r="M105" s="43">
        <f>IFERROR(K105/J105-G105,0)</f>
        <v/>
      </c>
      <c r="N105" s="13">
        <f>IF(M105&gt;=0,"Green",IF(ABS(M105)&lt;='00_Readme'!$B$14,"Amber","Red"))</f>
        <v/>
      </c>
    </row>
    <row r="106">
      <c r="A106" s="27" t="inlineStr">
        <is>
          <t>Dec 2026</t>
        </is>
      </c>
      <c r="B106" s="27" t="inlineStr">
        <is>
          <t>General Trade</t>
        </is>
      </c>
      <c r="C106" s="27" t="inlineStr">
        <is>
          <t>Home Care</t>
        </is>
      </c>
      <c r="D106" s="44" t="n">
        <v>124</v>
      </c>
      <c r="E106" s="44" t="n">
        <v>85</v>
      </c>
      <c r="F106" s="44" t="n">
        <v>58</v>
      </c>
      <c r="G106" s="43">
        <f>'02_P&amp;L'!M9</f>
        <v/>
      </c>
      <c r="H106" s="42">
        <f>'02_P&amp;L'!M24</f>
        <v/>
      </c>
      <c r="I106" s="44" t="n">
        <v>256</v>
      </c>
      <c r="J106" s="44" t="n">
        <v>477</v>
      </c>
      <c r="K106" s="44" t="n">
        <v>105</v>
      </c>
      <c r="L106" s="46">
        <f>IFERROR(K106/D106,0)</f>
        <v/>
      </c>
      <c r="M106" s="43">
        <f>IFERROR(K106/J106-G106,0)</f>
        <v/>
      </c>
      <c r="N106" s="13">
        <f>IF(M106&gt;=0,"Green",IF(ABS(M106)&lt;='00_Readme'!$B$14,"Amber","Red"))</f>
        <v/>
      </c>
    </row>
    <row r="107">
      <c r="A107" s="27" t="inlineStr">
        <is>
          <t>Dec 2026</t>
        </is>
      </c>
      <c r="B107" s="27" t="inlineStr">
        <is>
          <t>General Trade</t>
        </is>
      </c>
      <c r="C107" s="27" t="inlineStr">
        <is>
          <t>Beverages</t>
        </is>
      </c>
      <c r="D107" s="44" t="n">
        <v>135</v>
      </c>
      <c r="E107" s="44" t="n">
        <v>93</v>
      </c>
      <c r="F107" s="44" t="n">
        <v>64</v>
      </c>
      <c r="G107" s="43">
        <f>'02_P&amp;L'!M9</f>
        <v/>
      </c>
      <c r="H107" s="42">
        <f>'02_P&amp;L'!M24</f>
        <v/>
      </c>
      <c r="I107" s="44" t="n">
        <v>288</v>
      </c>
      <c r="J107" s="44" t="n">
        <v>512</v>
      </c>
      <c r="K107" s="44" t="n">
        <v>123</v>
      </c>
      <c r="L107" s="46">
        <f>IFERROR(K107/D107,0)</f>
        <v/>
      </c>
      <c r="M107" s="43">
        <f>IFERROR(K107/J107-G107,0)</f>
        <v/>
      </c>
      <c r="N107" s="13">
        <f>IF(M107&gt;=0,"Green",IF(ABS(M107)&lt;='00_Readme'!$B$14,"Amber","Red"))</f>
        <v/>
      </c>
    </row>
    <row r="108">
      <c r="A108" s="27" t="inlineStr">
        <is>
          <t>Dec 2026</t>
        </is>
      </c>
      <c r="B108" s="27" t="inlineStr">
        <is>
          <t>Modern Trade</t>
        </is>
      </c>
      <c r="C108" s="27" t="inlineStr">
        <is>
          <t>Personal Care</t>
        </is>
      </c>
      <c r="D108" s="44" t="n">
        <v>135</v>
      </c>
      <c r="E108" s="44" t="n">
        <v>93</v>
      </c>
      <c r="F108" s="44" t="n">
        <v>65</v>
      </c>
      <c r="G108" s="43">
        <f>'02_P&amp;L'!M9</f>
        <v/>
      </c>
      <c r="H108" s="42">
        <f>'02_P&amp;L'!M24</f>
        <v/>
      </c>
      <c r="I108" s="44" t="n">
        <v>281</v>
      </c>
      <c r="J108" s="44" t="n">
        <v>512</v>
      </c>
      <c r="K108" s="44" t="n">
        <v>102</v>
      </c>
      <c r="L108" s="46">
        <f>IFERROR(K108/D108,0)</f>
        <v/>
      </c>
      <c r="M108" s="43">
        <f>IFERROR(K108/J108-G108,0)</f>
        <v/>
      </c>
      <c r="N108" s="13">
        <f>IF(M108&gt;=0,"Green",IF(ABS(M108)&lt;='00_Readme'!$B$14,"Amber","Red"))</f>
        <v/>
      </c>
    </row>
    <row r="109">
      <c r="A109" s="27" t="inlineStr">
        <is>
          <t>Dec 2026</t>
        </is>
      </c>
      <c r="B109" s="27" t="inlineStr">
        <is>
          <t>Modern Trade</t>
        </is>
      </c>
      <c r="C109" s="27" t="inlineStr">
        <is>
          <t>Home Care</t>
        </is>
      </c>
      <c r="D109" s="44" t="n">
        <v>146</v>
      </c>
      <c r="E109" s="44" t="n">
        <v>101</v>
      </c>
      <c r="F109" s="44" t="n">
        <v>71</v>
      </c>
      <c r="G109" s="43">
        <f>'02_P&amp;L'!M9</f>
        <v/>
      </c>
      <c r="H109" s="42">
        <f>'02_P&amp;L'!M24</f>
        <v/>
      </c>
      <c r="I109" s="44" t="n">
        <v>313</v>
      </c>
      <c r="J109" s="44" t="n">
        <v>547</v>
      </c>
      <c r="K109" s="44" t="n">
        <v>120</v>
      </c>
      <c r="L109" s="46">
        <f>IFERROR(K109/D109,0)</f>
        <v/>
      </c>
      <c r="M109" s="43">
        <f>IFERROR(K109/J109-G109,0)</f>
        <v/>
      </c>
      <c r="N109" s="13">
        <f>IF(M109&gt;=0,"Green",IF(ABS(M109)&lt;='00_Readme'!$B$14,"Amber","Red"))</f>
        <v/>
      </c>
    </row>
    <row r="110">
      <c r="A110" s="27" t="inlineStr">
        <is>
          <t>Dec 2026</t>
        </is>
      </c>
      <c r="B110" s="27" t="inlineStr">
        <is>
          <t>Modern Trade</t>
        </is>
      </c>
      <c r="C110" s="27" t="inlineStr">
        <is>
          <t>Beverages</t>
        </is>
      </c>
      <c r="D110" s="44" t="n">
        <v>157</v>
      </c>
      <c r="E110" s="44" t="n">
        <v>109</v>
      </c>
      <c r="F110" s="44" t="n">
        <v>77</v>
      </c>
      <c r="G110" s="43">
        <f>'02_P&amp;L'!M9</f>
        <v/>
      </c>
      <c r="H110" s="42">
        <f>'02_P&amp;L'!M24</f>
        <v/>
      </c>
      <c r="I110" s="44" t="n">
        <v>346</v>
      </c>
      <c r="J110" s="44" t="n">
        <v>582</v>
      </c>
      <c r="K110" s="44" t="n">
        <v>140</v>
      </c>
      <c r="L110" s="46">
        <f>IFERROR(K110/D110,0)</f>
        <v/>
      </c>
      <c r="M110" s="43">
        <f>IFERROR(K110/J110-G110,0)</f>
        <v/>
      </c>
      <c r="N110" s="13">
        <f>IF(M110&gt;=0,"Green",IF(ABS(M110)&lt;='00_Readme'!$B$14,"Amber","Red"))</f>
        <v/>
      </c>
    </row>
    <row r="111">
      <c r="A111" s="27" t="inlineStr">
        <is>
          <t>Dec 2026</t>
        </is>
      </c>
      <c r="B111" s="27" t="inlineStr">
        <is>
          <t>E-commerce</t>
        </is>
      </c>
      <c r="C111" s="27" t="inlineStr">
        <is>
          <t>Personal Care</t>
        </is>
      </c>
      <c r="D111" s="44" t="n">
        <v>157</v>
      </c>
      <c r="E111" s="44" t="n">
        <v>109</v>
      </c>
      <c r="F111" s="44" t="n">
        <v>78</v>
      </c>
      <c r="G111" s="43">
        <f>'02_P&amp;L'!M9</f>
        <v/>
      </c>
      <c r="H111" s="42">
        <f>'02_P&amp;L'!M24</f>
        <v/>
      </c>
      <c r="I111" s="44" t="n">
        <v>339</v>
      </c>
      <c r="J111" s="44" t="n">
        <v>582</v>
      </c>
      <c r="K111" s="44" t="n">
        <v>116</v>
      </c>
      <c r="L111" s="46">
        <f>IFERROR(K111/D111,0)</f>
        <v/>
      </c>
      <c r="M111" s="43">
        <f>IFERROR(K111/J111-G111,0)</f>
        <v/>
      </c>
      <c r="N111" s="13">
        <f>IF(M111&gt;=0,"Green",IF(ABS(M111)&lt;='00_Readme'!$B$14,"Amber","Red"))</f>
        <v/>
      </c>
    </row>
    <row r="112">
      <c r="A112" s="27" t="inlineStr">
        <is>
          <t>Dec 2026</t>
        </is>
      </c>
      <c r="B112" s="27" t="inlineStr">
        <is>
          <t>E-commerce</t>
        </is>
      </c>
      <c r="C112" s="27" t="inlineStr">
        <is>
          <t>Home Care</t>
        </is>
      </c>
      <c r="D112" s="44" t="n">
        <v>168</v>
      </c>
      <c r="E112" s="44" t="n">
        <v>117</v>
      </c>
      <c r="F112" s="44" t="n">
        <v>84</v>
      </c>
      <c r="G112" s="43">
        <f>'02_P&amp;L'!M9</f>
        <v/>
      </c>
      <c r="H112" s="42">
        <f>'02_P&amp;L'!M24</f>
        <v/>
      </c>
      <c r="I112" s="44" t="n">
        <v>373</v>
      </c>
      <c r="J112" s="44" t="n">
        <v>617</v>
      </c>
      <c r="K112" s="44" t="n">
        <v>136</v>
      </c>
      <c r="L112" s="46">
        <f>IFERROR(K112/D112,0)</f>
        <v/>
      </c>
      <c r="M112" s="43">
        <f>IFERROR(K112/J112-G112,0)</f>
        <v/>
      </c>
      <c r="N112" s="13">
        <f>IF(M112&gt;=0,"Green",IF(ABS(M112)&lt;='00_Readme'!$B$14,"Amber","Red"))</f>
        <v/>
      </c>
    </row>
    <row r="113">
      <c r="A113" s="27" t="inlineStr">
        <is>
          <t>Dec 2026</t>
        </is>
      </c>
      <c r="B113" s="27" t="inlineStr">
        <is>
          <t>E-commerce</t>
        </is>
      </c>
      <c r="C113" s="27" t="inlineStr">
        <is>
          <t>Beverages</t>
        </is>
      </c>
      <c r="D113" s="44" t="n">
        <v>179</v>
      </c>
      <c r="E113" s="44" t="n">
        <v>125</v>
      </c>
      <c r="F113" s="44" t="n">
        <v>90</v>
      </c>
      <c r="G113" s="43">
        <f>'02_P&amp;L'!M9</f>
        <v/>
      </c>
      <c r="H113" s="42">
        <f>'02_P&amp;L'!M24</f>
        <v/>
      </c>
      <c r="I113" s="44" t="n">
        <v>408</v>
      </c>
      <c r="J113" s="44" t="n">
        <v>652</v>
      </c>
      <c r="K113" s="44" t="n">
        <v>156</v>
      </c>
      <c r="L113" s="46">
        <f>IFERROR(K113/D113,0)</f>
        <v/>
      </c>
      <c r="M113" s="43">
        <f>IFERROR(K113/J113-G113,0)</f>
        <v/>
      </c>
      <c r="N113" s="13">
        <f>IF(M113&gt;=0,"Green",IF(ABS(M113)&lt;='00_Readme'!$B$14,"Amber","Red"))</f>
        <v/>
      </c>
    </row>
    <row r="116">
      <c r="A116" s="8" t="inlineStr">
        <is>
          <t>Summary Efficiency by Channel &amp; Category</t>
        </is>
      </c>
    </row>
    <row r="117" ht="30" customHeight="1">
      <c r="A117" s="9" t="inlineStr">
        <is>
          <t>Channel</t>
        </is>
      </c>
      <c r="B117" s="9" t="inlineStr">
        <is>
          <t>Category</t>
        </is>
      </c>
      <c r="C117" s="9" t="inlineStr">
        <is>
          <t>Trade Investment</t>
        </is>
      </c>
      <c r="D117" s="9" t="inlineStr">
        <is>
          <t>A&amp;P Investment</t>
        </is>
      </c>
      <c r="E117" s="9" t="inlineStr">
        <is>
          <t>Expert / Media Spend</t>
        </is>
      </c>
      <c r="F117" s="9" t="inlineStr">
        <is>
          <t>Actual Spend</t>
        </is>
      </c>
      <c r="G117" s="9" t="inlineStr">
        <is>
          <t>Incremental Sales</t>
        </is>
      </c>
      <c r="H117" s="9" t="inlineStr">
        <is>
          <t>Incremental Gross Profit</t>
        </is>
      </c>
      <c r="I117" s="9" t="inlineStr">
        <is>
          <t>ROI</t>
        </is>
      </c>
      <c r="J117" s="9" t="inlineStr">
        <is>
          <t>Avg Gross Margin</t>
        </is>
      </c>
      <c r="K117" s="9" t="inlineStr">
        <is>
          <t>Variance vs Target</t>
        </is>
      </c>
      <c r="L117" s="9" t="inlineStr">
        <is>
          <t>RAG</t>
        </is>
      </c>
    </row>
    <row r="118">
      <c r="A118" s="27" t="inlineStr">
        <is>
          <t>General Trade</t>
        </is>
      </c>
      <c r="B118" s="27" t="inlineStr">
        <is>
          <t>Personal Care</t>
        </is>
      </c>
      <c r="C118" s="42">
        <f>SUMIFS($D$6:$D$113,$B$6:$B$113,$A118,$C$6:$C$113,$B118)</f>
        <v/>
      </c>
      <c r="D118" s="42">
        <f>SUMIFS($E$6:$E$113,$B$6:$B$113,$A118,$C$6:$C$113,$B118)</f>
        <v/>
      </c>
      <c r="E118" s="42">
        <f>SUMIFS($F$6:$F$113,$B$6:$B$113,$A118,$C$6:$C$113,$B118)</f>
        <v/>
      </c>
      <c r="F118" s="42">
        <f>SUMIFS($I$6:$I$113,$B$6:$B$113,$A118,$C$6:$C$113,$B118)</f>
        <v/>
      </c>
      <c r="G118" s="42">
        <f>SUMIFS($J$6:$J$113,$B$6:$B$113,$A118,$C$6:$C$113,$B118)</f>
        <v/>
      </c>
      <c r="H118" s="42">
        <f>SUMIFS($K$6:$K$113,$B$6:$B$113,$A118,$C$6:$C$113,$B118)</f>
        <v/>
      </c>
      <c r="I118" s="46">
        <f>IFERROR(H118/C118,0)</f>
        <v/>
      </c>
      <c r="J118" s="43">
        <f>AVERAGEIFS($G$6:$G$113,$B$6:$B$113,$A118,$C$6:$C$113,$B118)</f>
        <v/>
      </c>
      <c r="K118" s="43">
        <f>IFERROR(H118/G118-J118,0)</f>
        <v/>
      </c>
      <c r="L118" s="13">
        <f>IF(K118&gt;=0,"Green",IF(ABS(K118)&lt;='00_Readme'!$B$14,"Amber","Red"))</f>
        <v/>
      </c>
    </row>
    <row r="119">
      <c r="A119" s="27" t="inlineStr">
        <is>
          <t>General Trade</t>
        </is>
      </c>
      <c r="B119" s="27" t="inlineStr">
        <is>
          <t>Home Care</t>
        </is>
      </c>
      <c r="C119" s="42">
        <f>SUMIFS($D$6:$D$113,$B$6:$B$113,$A119,$C$6:$C$113,$B119)</f>
        <v/>
      </c>
      <c r="D119" s="42">
        <f>SUMIFS($E$6:$E$113,$B$6:$B$113,$A119,$C$6:$C$113,$B119)</f>
        <v/>
      </c>
      <c r="E119" s="42">
        <f>SUMIFS($F$6:$F$113,$B$6:$B$113,$A119,$C$6:$C$113,$B119)</f>
        <v/>
      </c>
      <c r="F119" s="42">
        <f>SUMIFS($I$6:$I$113,$B$6:$B$113,$A119,$C$6:$C$113,$B119)</f>
        <v/>
      </c>
      <c r="G119" s="42">
        <f>SUMIFS($J$6:$J$113,$B$6:$B$113,$A119,$C$6:$C$113,$B119)</f>
        <v/>
      </c>
      <c r="H119" s="42">
        <f>SUMIFS($K$6:$K$113,$B$6:$B$113,$A119,$C$6:$C$113,$B119)</f>
        <v/>
      </c>
      <c r="I119" s="46">
        <f>IFERROR(H119/C119,0)</f>
        <v/>
      </c>
      <c r="J119" s="43">
        <f>AVERAGEIFS($G$6:$G$113,$B$6:$B$113,$A119,$C$6:$C$113,$B119)</f>
        <v/>
      </c>
      <c r="K119" s="43">
        <f>IFERROR(H119/G119-J119,0)</f>
        <v/>
      </c>
      <c r="L119" s="13">
        <f>IF(K119&gt;=0,"Green",IF(ABS(K119)&lt;='00_Readme'!$B$14,"Amber","Red"))</f>
        <v/>
      </c>
    </row>
    <row r="120">
      <c r="A120" s="27" t="inlineStr">
        <is>
          <t>General Trade</t>
        </is>
      </c>
      <c r="B120" s="27" t="inlineStr">
        <is>
          <t>Beverages</t>
        </is>
      </c>
      <c r="C120" s="42">
        <f>SUMIFS($D$6:$D$113,$B$6:$B$113,$A120,$C$6:$C$113,$B120)</f>
        <v/>
      </c>
      <c r="D120" s="42">
        <f>SUMIFS($E$6:$E$113,$B$6:$B$113,$A120,$C$6:$C$113,$B120)</f>
        <v/>
      </c>
      <c r="E120" s="42">
        <f>SUMIFS($F$6:$F$113,$B$6:$B$113,$A120,$C$6:$C$113,$B120)</f>
        <v/>
      </c>
      <c r="F120" s="42">
        <f>SUMIFS($I$6:$I$113,$B$6:$B$113,$A120,$C$6:$C$113,$B120)</f>
        <v/>
      </c>
      <c r="G120" s="42">
        <f>SUMIFS($J$6:$J$113,$B$6:$B$113,$A120,$C$6:$C$113,$B120)</f>
        <v/>
      </c>
      <c r="H120" s="42">
        <f>SUMIFS($K$6:$K$113,$B$6:$B$113,$A120,$C$6:$C$113,$B120)</f>
        <v/>
      </c>
      <c r="I120" s="46">
        <f>IFERROR(H120/C120,0)</f>
        <v/>
      </c>
      <c r="J120" s="43">
        <f>AVERAGEIFS($G$6:$G$113,$B$6:$B$113,$A120,$C$6:$C$113,$B120)</f>
        <v/>
      </c>
      <c r="K120" s="43">
        <f>IFERROR(H120/G120-J120,0)</f>
        <v/>
      </c>
      <c r="L120" s="13">
        <f>IF(K120&gt;=0,"Green",IF(ABS(K120)&lt;='00_Readme'!$B$14,"Amber","Red"))</f>
        <v/>
      </c>
    </row>
    <row r="121">
      <c r="A121" s="27" t="inlineStr">
        <is>
          <t>Modern Trade</t>
        </is>
      </c>
      <c r="B121" s="27" t="inlineStr">
        <is>
          <t>Personal Care</t>
        </is>
      </c>
      <c r="C121" s="42">
        <f>SUMIFS($D$6:$D$113,$B$6:$B$113,$A121,$C$6:$C$113,$B121)</f>
        <v/>
      </c>
      <c r="D121" s="42">
        <f>SUMIFS($E$6:$E$113,$B$6:$B$113,$A121,$C$6:$C$113,$B121)</f>
        <v/>
      </c>
      <c r="E121" s="42">
        <f>SUMIFS($F$6:$F$113,$B$6:$B$113,$A121,$C$6:$C$113,$B121)</f>
        <v/>
      </c>
      <c r="F121" s="42">
        <f>SUMIFS($I$6:$I$113,$B$6:$B$113,$A121,$C$6:$C$113,$B121)</f>
        <v/>
      </c>
      <c r="G121" s="42">
        <f>SUMIFS($J$6:$J$113,$B$6:$B$113,$A121,$C$6:$C$113,$B121)</f>
        <v/>
      </c>
      <c r="H121" s="42">
        <f>SUMIFS($K$6:$K$113,$B$6:$B$113,$A121,$C$6:$C$113,$B121)</f>
        <v/>
      </c>
      <c r="I121" s="46">
        <f>IFERROR(H121/C121,0)</f>
        <v/>
      </c>
      <c r="J121" s="43">
        <f>AVERAGEIFS($G$6:$G$113,$B$6:$B$113,$A121,$C$6:$C$113,$B121)</f>
        <v/>
      </c>
      <c r="K121" s="43">
        <f>IFERROR(H121/G121-J121,0)</f>
        <v/>
      </c>
      <c r="L121" s="13">
        <f>IF(K121&gt;=0,"Green",IF(ABS(K121)&lt;='00_Readme'!$B$14,"Amber","Red"))</f>
        <v/>
      </c>
    </row>
    <row r="122">
      <c r="A122" s="27" t="inlineStr">
        <is>
          <t>Modern Trade</t>
        </is>
      </c>
      <c r="B122" s="27" t="inlineStr">
        <is>
          <t>Home Care</t>
        </is>
      </c>
      <c r="C122" s="42">
        <f>SUMIFS($D$6:$D$113,$B$6:$B$113,$A122,$C$6:$C$113,$B122)</f>
        <v/>
      </c>
      <c r="D122" s="42">
        <f>SUMIFS($E$6:$E$113,$B$6:$B$113,$A122,$C$6:$C$113,$B122)</f>
        <v/>
      </c>
      <c r="E122" s="42">
        <f>SUMIFS($F$6:$F$113,$B$6:$B$113,$A122,$C$6:$C$113,$B122)</f>
        <v/>
      </c>
      <c r="F122" s="42">
        <f>SUMIFS($I$6:$I$113,$B$6:$B$113,$A122,$C$6:$C$113,$B122)</f>
        <v/>
      </c>
      <c r="G122" s="42">
        <f>SUMIFS($J$6:$J$113,$B$6:$B$113,$A122,$C$6:$C$113,$B122)</f>
        <v/>
      </c>
      <c r="H122" s="42">
        <f>SUMIFS($K$6:$K$113,$B$6:$B$113,$A122,$C$6:$C$113,$B122)</f>
        <v/>
      </c>
      <c r="I122" s="46">
        <f>IFERROR(H122/C122,0)</f>
        <v/>
      </c>
      <c r="J122" s="43">
        <f>AVERAGEIFS($G$6:$G$113,$B$6:$B$113,$A122,$C$6:$C$113,$B122)</f>
        <v/>
      </c>
      <c r="K122" s="43">
        <f>IFERROR(H122/G122-J122,0)</f>
        <v/>
      </c>
      <c r="L122" s="13">
        <f>IF(K122&gt;=0,"Green",IF(ABS(K122)&lt;='00_Readme'!$B$14,"Amber","Red"))</f>
        <v/>
      </c>
    </row>
    <row r="123">
      <c r="A123" s="27" t="inlineStr">
        <is>
          <t>Modern Trade</t>
        </is>
      </c>
      <c r="B123" s="27" t="inlineStr">
        <is>
          <t>Beverages</t>
        </is>
      </c>
      <c r="C123" s="42">
        <f>SUMIFS($D$6:$D$113,$B$6:$B$113,$A123,$C$6:$C$113,$B123)</f>
        <v/>
      </c>
      <c r="D123" s="42">
        <f>SUMIFS($E$6:$E$113,$B$6:$B$113,$A123,$C$6:$C$113,$B123)</f>
        <v/>
      </c>
      <c r="E123" s="42">
        <f>SUMIFS($F$6:$F$113,$B$6:$B$113,$A123,$C$6:$C$113,$B123)</f>
        <v/>
      </c>
      <c r="F123" s="42">
        <f>SUMIFS($I$6:$I$113,$B$6:$B$113,$A123,$C$6:$C$113,$B123)</f>
        <v/>
      </c>
      <c r="G123" s="42">
        <f>SUMIFS($J$6:$J$113,$B$6:$B$113,$A123,$C$6:$C$113,$B123)</f>
        <v/>
      </c>
      <c r="H123" s="42">
        <f>SUMIFS($K$6:$K$113,$B$6:$B$113,$A123,$C$6:$C$113,$B123)</f>
        <v/>
      </c>
      <c r="I123" s="46">
        <f>IFERROR(H123/C123,0)</f>
        <v/>
      </c>
      <c r="J123" s="43">
        <f>AVERAGEIFS($G$6:$G$113,$B$6:$B$113,$A123,$C$6:$C$113,$B123)</f>
        <v/>
      </c>
      <c r="K123" s="43">
        <f>IFERROR(H123/G123-J123,0)</f>
        <v/>
      </c>
      <c r="L123" s="13">
        <f>IF(K123&gt;=0,"Green",IF(ABS(K123)&lt;='00_Readme'!$B$14,"Amber","Red"))</f>
        <v/>
      </c>
    </row>
    <row r="124">
      <c r="A124" s="27" t="inlineStr">
        <is>
          <t>E-commerce</t>
        </is>
      </c>
      <c r="B124" s="27" t="inlineStr">
        <is>
          <t>Personal Care</t>
        </is>
      </c>
      <c r="C124" s="42">
        <f>SUMIFS($D$6:$D$113,$B$6:$B$113,$A124,$C$6:$C$113,$B124)</f>
        <v/>
      </c>
      <c r="D124" s="42">
        <f>SUMIFS($E$6:$E$113,$B$6:$B$113,$A124,$C$6:$C$113,$B124)</f>
        <v/>
      </c>
      <c r="E124" s="42">
        <f>SUMIFS($F$6:$F$113,$B$6:$B$113,$A124,$C$6:$C$113,$B124)</f>
        <v/>
      </c>
      <c r="F124" s="42">
        <f>SUMIFS($I$6:$I$113,$B$6:$B$113,$A124,$C$6:$C$113,$B124)</f>
        <v/>
      </c>
      <c r="G124" s="42">
        <f>SUMIFS($J$6:$J$113,$B$6:$B$113,$A124,$C$6:$C$113,$B124)</f>
        <v/>
      </c>
      <c r="H124" s="42">
        <f>SUMIFS($K$6:$K$113,$B$6:$B$113,$A124,$C$6:$C$113,$B124)</f>
        <v/>
      </c>
      <c r="I124" s="46">
        <f>IFERROR(H124/C124,0)</f>
        <v/>
      </c>
      <c r="J124" s="43">
        <f>AVERAGEIFS($G$6:$G$113,$B$6:$B$113,$A124,$C$6:$C$113,$B124)</f>
        <v/>
      </c>
      <c r="K124" s="43">
        <f>IFERROR(H124/G124-J124,0)</f>
        <v/>
      </c>
      <c r="L124" s="13">
        <f>IF(K124&gt;=0,"Green",IF(ABS(K124)&lt;='00_Readme'!$B$14,"Amber","Red"))</f>
        <v/>
      </c>
    </row>
    <row r="125">
      <c r="A125" s="27" t="inlineStr">
        <is>
          <t>E-commerce</t>
        </is>
      </c>
      <c r="B125" s="27" t="inlineStr">
        <is>
          <t>Home Care</t>
        </is>
      </c>
      <c r="C125" s="42">
        <f>SUMIFS($D$6:$D$113,$B$6:$B$113,$A125,$C$6:$C$113,$B125)</f>
        <v/>
      </c>
      <c r="D125" s="42">
        <f>SUMIFS($E$6:$E$113,$B$6:$B$113,$A125,$C$6:$C$113,$B125)</f>
        <v/>
      </c>
      <c r="E125" s="42">
        <f>SUMIFS($F$6:$F$113,$B$6:$B$113,$A125,$C$6:$C$113,$B125)</f>
        <v/>
      </c>
      <c r="F125" s="42">
        <f>SUMIFS($I$6:$I$113,$B$6:$B$113,$A125,$C$6:$C$113,$B125)</f>
        <v/>
      </c>
      <c r="G125" s="42">
        <f>SUMIFS($J$6:$J$113,$B$6:$B$113,$A125,$C$6:$C$113,$B125)</f>
        <v/>
      </c>
      <c r="H125" s="42">
        <f>SUMIFS($K$6:$K$113,$B$6:$B$113,$A125,$C$6:$C$113,$B125)</f>
        <v/>
      </c>
      <c r="I125" s="46">
        <f>IFERROR(H125/C125,0)</f>
        <v/>
      </c>
      <c r="J125" s="43">
        <f>AVERAGEIFS($G$6:$G$113,$B$6:$B$113,$A125,$C$6:$C$113,$B125)</f>
        <v/>
      </c>
      <c r="K125" s="43">
        <f>IFERROR(H125/G125-J125,0)</f>
        <v/>
      </c>
      <c r="L125" s="13">
        <f>IF(K125&gt;=0,"Green",IF(ABS(K125)&lt;='00_Readme'!$B$14,"Amber","Red"))</f>
        <v/>
      </c>
    </row>
    <row r="126">
      <c r="A126" s="27" t="inlineStr">
        <is>
          <t>E-commerce</t>
        </is>
      </c>
      <c r="B126" s="27" t="inlineStr">
        <is>
          <t>Beverages</t>
        </is>
      </c>
      <c r="C126" s="42">
        <f>SUMIFS($D$6:$D$113,$B$6:$B$113,$A126,$C$6:$C$113,$B126)</f>
        <v/>
      </c>
      <c r="D126" s="42">
        <f>SUMIFS($E$6:$E$113,$B$6:$B$113,$A126,$C$6:$C$113,$B126)</f>
        <v/>
      </c>
      <c r="E126" s="42">
        <f>SUMIFS($F$6:$F$113,$B$6:$B$113,$A126,$C$6:$C$113,$B126)</f>
        <v/>
      </c>
      <c r="F126" s="42">
        <f>SUMIFS($I$6:$I$113,$B$6:$B$113,$A126,$C$6:$C$113,$B126)</f>
        <v/>
      </c>
      <c r="G126" s="42">
        <f>SUMIFS($J$6:$J$113,$B$6:$B$113,$A126,$C$6:$C$113,$B126)</f>
        <v/>
      </c>
      <c r="H126" s="42">
        <f>SUMIFS($K$6:$K$113,$B$6:$B$113,$A126,$C$6:$C$113,$B126)</f>
        <v/>
      </c>
      <c r="I126" s="46">
        <f>IFERROR(H126/C126,0)</f>
        <v/>
      </c>
      <c r="J126" s="43">
        <f>AVERAGEIFS($G$6:$G$113,$B$6:$B$113,$A126,$C$6:$C$113,$B126)</f>
        <v/>
      </c>
      <c r="K126" s="43">
        <f>IFERROR(H126/G126-J126,0)</f>
        <v/>
      </c>
      <c r="L126" s="13">
        <f>IF(K126&gt;=0,"Green",IF(ABS(K126)&lt;='00_Readme'!$B$14,"Amber","Red"))</f>
        <v/>
      </c>
    </row>
  </sheetData>
  <mergeCells count="3">
    <mergeCell ref="A2:N2"/>
    <mergeCell ref="A116:N116"/>
    <mergeCell ref="A1:N1"/>
  </mergeCells>
  <conditionalFormatting sqref="N6:N113">
    <cfRule type="expression" priority="1" dxfId="1">
      <formula>N6="Green"</formula>
    </cfRule>
    <cfRule type="expression" priority="2" dxfId="2">
      <formula>N6="Amber"</formula>
    </cfRule>
    <cfRule type="expression" priority="3" dxfId="0">
      <formula>N6="Red"</formula>
    </cfRule>
  </conditionalFormatting>
  <conditionalFormatting sqref="L118:L126">
    <cfRule type="expression" priority="4" dxfId="1">
      <formula>L118="Green"</formula>
    </cfRule>
    <cfRule type="expression" priority="5" dxfId="2">
      <formula>L118="Amber"</formula>
    </cfRule>
    <cfRule type="expression" priority="6" dxfId="0">
      <formula>L118="Red"</formula>
    </cfRule>
  </conditionalFormatting>
  <pageMargins left="0.75" right="0.75" top="1" bottom="1" header="0.5" footer="0.5"/>
  <pageSetup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A5B9BD"/>
    <outlinePr summaryBelow="1" summaryRight="1"/>
    <pageSetUpPr/>
  </sheetPr>
  <dimension ref="A1:K2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3" customWidth="1" min="4" max="4"/>
    <col width="11" customWidth="1" min="5" max="5"/>
    <col width="12" customWidth="1" min="6" max="6"/>
    <col width="39" customWidth="1" min="7" max="7"/>
    <col width="15" customWidth="1" min="8" max="8"/>
    <col width="13" customWidth="1" min="9" max="9"/>
    <col width="14" customWidth="1" min="10" max="10"/>
    <col width="10" customWidth="1" min="11" max="11"/>
  </cols>
  <sheetData>
    <row r="1" ht="28" customHeight="1">
      <c r="A1" s="1" t="inlineStr">
        <is>
          <t>Business Partnering | Performance, Hygiene &amp; Market Risk</t>
        </is>
      </c>
    </row>
    <row r="2" ht="29" customHeight="1">
      <c r="A2" s="2" t="inlineStr">
        <is>
          <t>KPI scorecard and risk register | management indicators are dummy values</t>
        </is>
      </c>
    </row>
    <row r="4">
      <c r="A4" s="8" t="inlineStr">
        <is>
          <t>Business Partnering KPI Scorecard</t>
        </is>
      </c>
    </row>
    <row r="5" ht="30" customHeight="1">
      <c r="A5" s="9" t="inlineStr">
        <is>
          <t>KPI</t>
        </is>
      </c>
      <c r="B5" s="9" t="inlineStr">
        <is>
          <t>Target</t>
        </is>
      </c>
      <c r="C5" s="9" t="inlineStr">
        <is>
          <t>Actual</t>
        </is>
      </c>
      <c r="D5" s="9" t="inlineStr">
        <is>
          <t>Variance</t>
        </is>
      </c>
      <c r="E5" s="9" t="inlineStr">
        <is>
          <t>RAG</t>
        </is>
      </c>
      <c r="F5" s="9" t="inlineStr">
        <is>
          <t>Root Cause</t>
        </is>
      </c>
      <c r="G5" s="9" t="inlineStr">
        <is>
          <t>Action Plan</t>
        </is>
      </c>
      <c r="H5" s="9" t="inlineStr">
        <is>
          <t>Owner</t>
        </is>
      </c>
      <c r="I5" s="9" t="inlineStr">
        <is>
          <t>Due Date</t>
        </is>
      </c>
    </row>
    <row r="6">
      <c r="A6" s="27" t="inlineStr">
        <is>
          <t>Performance culture</t>
        </is>
      </c>
      <c r="B6" s="38" t="n">
        <v>0.9</v>
      </c>
      <c r="C6" s="38" t="n">
        <v>0.88</v>
      </c>
      <c r="D6" s="43">
        <f>C6-B6</f>
        <v/>
      </c>
      <c r="E6" s="13">
        <f>IF(C6&gt;=B6,"Green",IF(B6-C6&lt;=B6*'00_Readme'!$B$14,"Amber","Red"))</f>
        <v/>
      </c>
      <c r="F6" s="27" t="inlineStr">
        <is>
          <t>Manager routines inconsistent in two regions</t>
        </is>
      </c>
      <c r="G6" s="27" t="inlineStr">
        <is>
          <t>Weekly performance huddle and scorecard coaching</t>
        </is>
      </c>
      <c r="H6" s="27" t="inlineStr">
        <is>
          <t>Dina</t>
        </is>
      </c>
      <c r="I6" s="29" t="n">
        <v>46112</v>
      </c>
    </row>
    <row r="7">
      <c r="A7" s="27" t="inlineStr">
        <is>
          <t>Commercial hygiene</t>
        </is>
      </c>
      <c r="B7" s="38" t="n">
        <v>0.95</v>
      </c>
      <c r="C7" s="38" t="n">
        <v>0.91</v>
      </c>
      <c r="D7" s="43">
        <f>C7-B7</f>
        <v/>
      </c>
      <c r="E7" s="13">
        <f>IF(C7&gt;=B7,"Green",IF(B7-C7&lt;=B7*'00_Readme'!$B$14,"Amber","Red"))</f>
        <v/>
      </c>
      <c r="F7" s="27" t="inlineStr">
        <is>
          <t>Late promo accrual documentation</t>
        </is>
      </c>
      <c r="G7" s="27" t="inlineStr">
        <is>
          <t>Close checklist and exception review</t>
        </is>
      </c>
      <c r="H7" s="27" t="inlineStr">
        <is>
          <t>Bimo</t>
        </is>
      </c>
      <c r="I7" s="29" t="n">
        <v>46081</v>
      </c>
    </row>
    <row r="8">
      <c r="A8" s="27" t="inlineStr">
        <is>
          <t>Market Risk Assessment</t>
        </is>
      </c>
      <c r="B8" s="38" t="n">
        <v>1</v>
      </c>
      <c r="C8" s="38" t="n">
        <v>0.92</v>
      </c>
      <c r="D8" s="43">
        <f>C8-B8</f>
        <v/>
      </c>
      <c r="E8" s="13">
        <f>IF(C8&gt;=B8,"Green",IF(B8-C8&lt;=B8*'00_Readme'!$B$14,"Amber","Red"))</f>
        <v/>
      </c>
      <c r="F8" s="27" t="inlineStr">
        <is>
          <t>Two key distributors lack refreshed risk rating</t>
        </is>
      </c>
      <c r="G8" s="27" t="inlineStr">
        <is>
          <t>Complete quarterly distributor risk review</t>
        </is>
      </c>
      <c r="H8" s="27" t="inlineStr">
        <is>
          <t>Fajar</t>
        </is>
      </c>
      <c r="I8" s="29" t="n">
        <v>46127</v>
      </c>
    </row>
    <row r="9">
      <c r="A9" s="27" t="inlineStr">
        <is>
          <t>Forecast Accuracy</t>
        </is>
      </c>
      <c r="B9" s="38" t="n">
        <v>0.95</v>
      </c>
      <c r="C9" s="43">
        <f>'01_Dashboard'!J9</f>
        <v/>
      </c>
      <c r="D9" s="43">
        <f>C9-B9</f>
        <v/>
      </c>
      <c r="E9" s="13">
        <f>IF(C9&gt;=B9,"Green",IF(B9-C9&lt;=B9*'00_Readme'!$B$14,"Amber","Red"))</f>
        <v/>
      </c>
      <c r="F9" s="27" t="inlineStr">
        <is>
          <t>Promo phasing creates volume timing gaps</t>
        </is>
      </c>
      <c r="G9" s="27" t="inlineStr">
        <is>
          <t>Use rolling demand signal and bias review</t>
        </is>
      </c>
      <c r="H9" s="27" t="inlineStr">
        <is>
          <t>Sari</t>
        </is>
      </c>
      <c r="I9" s="29" t="n">
        <v>46157</v>
      </c>
    </row>
    <row r="10">
      <c r="A10" s="27" t="inlineStr">
        <is>
          <t>Distribution Reach</t>
        </is>
      </c>
      <c r="B10" s="38" t="n">
        <v>0.85</v>
      </c>
      <c r="C10" s="38" t="n">
        <v>0.83</v>
      </c>
      <c r="D10" s="43">
        <f>C10-B10</f>
        <v/>
      </c>
      <c r="E10" s="13">
        <f>IF(C10&gt;=B10,"Green",IF(B10-C10&lt;=B10*'00_Readme'!$B$14,"Amber","Red"))</f>
        <v/>
      </c>
      <c r="F10" s="27" t="inlineStr">
        <is>
          <t>Numeric distribution soft in East Java</t>
        </is>
      </c>
      <c r="G10" s="27" t="inlineStr">
        <is>
          <t>Route-to-market expansion pilot</t>
        </is>
      </c>
      <c r="H10" s="27" t="inlineStr">
        <is>
          <t>Yuni</t>
        </is>
      </c>
      <c r="I10" s="29" t="n">
        <v>46203</v>
      </c>
    </row>
    <row r="11">
      <c r="A11" s="27" t="inlineStr">
        <is>
          <t>Inventory Health</t>
        </is>
      </c>
      <c r="B11" s="38" t="n">
        <v>0.9</v>
      </c>
      <c r="C11" s="38" t="n">
        <v>0.86</v>
      </c>
      <c r="D11" s="43">
        <f>C11-B11</f>
        <v/>
      </c>
      <c r="E11" s="13">
        <f>IF(C11&gt;=B11,"Green",IF(B11-C11&lt;=B11*'00_Readme'!$B$14,"Amber","Red"))</f>
        <v/>
      </c>
      <c r="F11" s="27" t="inlineStr">
        <is>
          <t>Beverages inventory above target</t>
        </is>
      </c>
      <c r="G11" s="27" t="inlineStr">
        <is>
          <t>SKU rationalisation and replenishment guardrails</t>
        </is>
      </c>
      <c r="H11" s="27" t="inlineStr">
        <is>
          <t>Arman</t>
        </is>
      </c>
      <c r="I11" s="29" t="n">
        <v>46142</v>
      </c>
    </row>
    <row r="18">
      <c r="A18" s="8" t="inlineStr">
        <is>
          <t>Market Risk Register</t>
        </is>
      </c>
    </row>
    <row r="19" ht="30" customHeight="1">
      <c r="A19" s="9" t="inlineStr">
        <is>
          <t>Risk ID</t>
        </is>
      </c>
      <c r="B19" s="9" t="inlineStr">
        <is>
          <t>Risk</t>
        </is>
      </c>
      <c r="C19" s="9" t="inlineStr">
        <is>
          <t>Category</t>
        </is>
      </c>
      <c r="D19" s="9" t="inlineStr">
        <is>
          <t>Probability</t>
        </is>
      </c>
      <c r="E19" s="9" t="inlineStr">
        <is>
          <t>Impact</t>
        </is>
      </c>
      <c r="F19" s="9" t="inlineStr">
        <is>
          <t>Exposure</t>
        </is>
      </c>
      <c r="G19" s="9" t="inlineStr">
        <is>
          <t>Mitigation</t>
        </is>
      </c>
      <c r="H19" s="9" t="inlineStr">
        <is>
          <t>Owner</t>
        </is>
      </c>
      <c r="I19" s="9" t="inlineStr">
        <is>
          <t>Due Date</t>
        </is>
      </c>
      <c r="J19" s="9" t="inlineStr">
        <is>
          <t>Status</t>
        </is>
      </c>
      <c r="K19" s="9" t="inlineStr">
        <is>
          <t>RAG</t>
        </is>
      </c>
    </row>
    <row r="20">
      <c r="A20" s="27" t="inlineStr">
        <is>
          <t>R-001</t>
        </is>
      </c>
      <c r="B20" s="27" t="inlineStr">
        <is>
          <t>Distributor credit deterioration</t>
        </is>
      </c>
      <c r="C20" s="27" t="inlineStr">
        <is>
          <t>Credit</t>
        </is>
      </c>
      <c r="D20" s="38" t="n">
        <v>0.45</v>
      </c>
      <c r="E20" s="47" t="n">
        <v>5</v>
      </c>
      <c r="F20" s="45">
        <f>D20*E20</f>
        <v/>
      </c>
      <c r="G20" s="27" t="inlineStr">
        <is>
          <t>Fajar</t>
        </is>
      </c>
      <c r="H20" s="48" t="n">
        <v>46068</v>
      </c>
      <c r="I20" s="29" t="inlineStr">
        <is>
          <t>Open</t>
        </is>
      </c>
      <c r="K20" s="13">
        <f>IF(J20="Mitigated","Green",IF(F20&gt;=2,"Red",IF(F20&gt;=1,"Amber","Green")))</f>
        <v/>
      </c>
    </row>
    <row r="21">
      <c r="A21" s="27" t="inlineStr">
        <is>
          <t>R-002</t>
        </is>
      </c>
      <c r="B21" s="27" t="inlineStr">
        <is>
          <t>Raw material cost inflation</t>
        </is>
      </c>
      <c r="C21" s="27" t="inlineStr">
        <is>
          <t>Supply</t>
        </is>
      </c>
      <c r="D21" s="38" t="n">
        <v>0.55</v>
      </c>
      <c r="E21" s="47" t="n">
        <v>4</v>
      </c>
      <c r="F21" s="45">
        <f>D21*E21</f>
        <v/>
      </c>
      <c r="G21" s="27" t="inlineStr">
        <is>
          <t>Arman</t>
        </is>
      </c>
      <c r="H21" s="48" t="n">
        <v>46112</v>
      </c>
      <c r="I21" s="29" t="inlineStr">
        <is>
          <t>Open</t>
        </is>
      </c>
      <c r="K21" s="13">
        <f>IF(J21="Mitigated","Green",IF(F21&gt;=2,"Red",IF(F21&gt;=1,"Amber","Green")))</f>
        <v/>
      </c>
    </row>
    <row r="22">
      <c r="A22" s="27" t="inlineStr">
        <is>
          <t>R-003</t>
        </is>
      </c>
      <c r="B22" s="27" t="inlineStr">
        <is>
          <t>Promo leakage / claim quality</t>
        </is>
      </c>
      <c r="C22" s="27" t="inlineStr">
        <is>
          <t>Commercial</t>
        </is>
      </c>
      <c r="D22" s="38" t="n">
        <v>0.35</v>
      </c>
      <c r="E22" s="47" t="n">
        <v>4</v>
      </c>
      <c r="F22" s="45">
        <f>D22*E22</f>
        <v/>
      </c>
      <c r="G22" s="27" t="inlineStr">
        <is>
          <t>Bimo</t>
        </is>
      </c>
      <c r="H22" s="48" t="n">
        <v>46081</v>
      </c>
      <c r="I22" s="29" t="inlineStr">
        <is>
          <t>Monitoring</t>
        </is>
      </c>
      <c r="K22" s="13">
        <f>IF(J22="Mitigated","Green",IF(F22&gt;=2,"Red",IF(F22&gt;=1,"Amber","Green")))</f>
        <v/>
      </c>
    </row>
    <row r="23">
      <c r="A23" s="27" t="inlineStr">
        <is>
          <t>R-004</t>
        </is>
      </c>
      <c r="B23" s="27" t="inlineStr">
        <is>
          <t>E-commerce platform dependency</t>
        </is>
      </c>
      <c r="C23" s="27" t="inlineStr">
        <is>
          <t>Digital</t>
        </is>
      </c>
      <c r="D23" s="38" t="n">
        <v>0.5</v>
      </c>
      <c r="E23" s="47" t="n">
        <v>3</v>
      </c>
      <c r="F23" s="45">
        <f>D23*E23</f>
        <v/>
      </c>
      <c r="G23" s="27" t="inlineStr">
        <is>
          <t>Sari</t>
        </is>
      </c>
      <c r="H23" s="48" t="n">
        <v>46172</v>
      </c>
      <c r="I23" s="29" t="inlineStr">
        <is>
          <t>Open</t>
        </is>
      </c>
      <c r="K23" s="13">
        <f>IF(J23="Mitigated","Green",IF(F23&gt;=2,"Red",IF(F23&gt;=1,"Amber","Green")))</f>
        <v/>
      </c>
    </row>
    <row r="24">
      <c r="A24" s="27" t="inlineStr">
        <is>
          <t>R-005</t>
        </is>
      </c>
      <c r="B24" s="27" t="inlineStr">
        <is>
          <t>Tax audit documentation gap</t>
        </is>
      </c>
      <c r="C24" s="27" t="inlineStr">
        <is>
          <t>Compliance</t>
        </is>
      </c>
      <c r="D24" s="38" t="n">
        <v>0.25</v>
      </c>
      <c r="E24" s="47" t="n">
        <v>5</v>
      </c>
      <c r="F24" s="45">
        <f>D24*E24</f>
        <v/>
      </c>
      <c r="G24" s="27" t="inlineStr">
        <is>
          <t>Dina</t>
        </is>
      </c>
      <c r="H24" s="48" t="n">
        <v>46053</v>
      </c>
      <c r="I24" s="29" t="inlineStr">
        <is>
          <t>Mitigated</t>
        </is>
      </c>
      <c r="K24" s="13">
        <f>IF(J24="Mitigated","Green",IF(F24&gt;=2,"Red",IF(F24&gt;=1,"Amber","Green")))</f>
        <v/>
      </c>
    </row>
    <row r="25">
      <c r="A25" s="27" t="inlineStr">
        <is>
          <t>R-006</t>
        </is>
      </c>
      <c r="B25" s="27" t="inlineStr">
        <is>
          <t>Service level underperformance</t>
        </is>
      </c>
      <c r="C25" s="27" t="inlineStr">
        <is>
          <t>Operations</t>
        </is>
      </c>
      <c r="D25" s="38" t="n">
        <v>0.4</v>
      </c>
      <c r="E25" s="47" t="n">
        <v>3</v>
      </c>
      <c r="F25" s="45">
        <f>D25*E25</f>
        <v/>
      </c>
      <c r="G25" s="27" t="inlineStr">
        <is>
          <t>Yuni</t>
        </is>
      </c>
      <c r="H25" s="48" t="n">
        <v>46142</v>
      </c>
      <c r="I25" s="29" t="inlineStr">
        <is>
          <t>Open</t>
        </is>
      </c>
      <c r="K25" s="13">
        <f>IF(J25="Mitigated","Green",IF(F25&gt;=2,"Red",IF(F25&gt;=1,"Amber","Green")))</f>
        <v/>
      </c>
    </row>
    <row r="26">
      <c r="A26" s="27" t="inlineStr">
        <is>
          <t>R-007</t>
        </is>
      </c>
      <c r="B26" s="27" t="inlineStr">
        <is>
          <t>FX exposure on imported inputs</t>
        </is>
      </c>
      <c r="C26" s="27" t="inlineStr">
        <is>
          <t>Treasury</t>
        </is>
      </c>
      <c r="D26" s="38" t="n">
        <v>0.3</v>
      </c>
      <c r="E26" s="47" t="n">
        <v>4</v>
      </c>
      <c r="F26" s="45">
        <f>D26*E26</f>
        <v/>
      </c>
      <c r="G26" s="27" t="inlineStr">
        <is>
          <t>Fajar</t>
        </is>
      </c>
      <c r="H26" s="48" t="n">
        <v>46203</v>
      </c>
      <c r="I26" s="29" t="inlineStr">
        <is>
          <t>Monitoring</t>
        </is>
      </c>
      <c r="K26" s="13">
        <f>IF(J26="Mitigated","Green",IF(F26&gt;=2,"Red",IF(F26&gt;=1,"Amber","Green")))</f>
        <v/>
      </c>
    </row>
    <row r="27">
      <c r="A27" s="27" t="inlineStr">
        <is>
          <t>R-008</t>
        </is>
      </c>
      <c r="B27" s="27" t="inlineStr">
        <is>
          <t>Data quality in management book</t>
        </is>
      </c>
      <c r="C27" s="27" t="inlineStr">
        <is>
          <t>Control</t>
        </is>
      </c>
      <c r="D27" s="38" t="n">
        <v>0.2</v>
      </c>
      <c r="E27" s="47" t="n">
        <v>4</v>
      </c>
      <c r="F27" s="45">
        <f>D27*E27</f>
        <v/>
      </c>
      <c r="G27" s="27" t="inlineStr">
        <is>
          <t>Dina</t>
        </is>
      </c>
      <c r="H27" s="48" t="n">
        <v>46042</v>
      </c>
      <c r="I27" s="29" t="inlineStr">
        <is>
          <t>Mitigated</t>
        </is>
      </c>
      <c r="K27" s="13">
        <f>IF(J27="Mitigated","Green",IF(F27&gt;=2,"Red",IF(F27&gt;=1,"Amber","Green")))</f>
        <v/>
      </c>
    </row>
  </sheetData>
  <mergeCells count="4">
    <mergeCell ref="A2:K2"/>
    <mergeCell ref="A1:K1"/>
    <mergeCell ref="A18:K18"/>
    <mergeCell ref="A4:K4"/>
  </mergeCells>
  <conditionalFormatting sqref="E6:E11">
    <cfRule type="expression" priority="1" dxfId="1">
      <formula>E6="Green"</formula>
    </cfRule>
    <cfRule type="expression" priority="2" dxfId="2">
      <formula>E6="Amber"</formula>
    </cfRule>
    <cfRule type="expression" priority="3" dxfId="0">
      <formula>E6="Red"</formula>
    </cfRule>
  </conditionalFormatting>
  <conditionalFormatting sqref="K20:K27">
    <cfRule type="expression" priority="4" dxfId="1">
      <formula>K20="Green"</formula>
    </cfRule>
    <cfRule type="expression" priority="5" dxfId="2">
      <formula>K20="Amber"</formula>
    </cfRule>
    <cfRule type="expression" priority="6" dxfId="0">
      <formula>K20="Red"</formula>
    </cfRule>
  </conditionalFormatting>
  <pageMargins left="0.75" right="0.75" top="1" bottom="1" header="0.5" footer="0.5"/>
  <pageSetup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A5B9BD"/>
    <outlinePr summaryBelow="1" summaryRight="1"/>
    <pageSetUpPr/>
  </sheetPr>
  <dimension ref="A1:I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7" customWidth="1" min="3" max="3"/>
    <col width="13" customWidth="1" min="4" max="4"/>
    <col width="15" customWidth="1" min="5" max="5"/>
    <col width="13" customWidth="1" min="6" max="6"/>
    <col width="14" customWidth="1" min="7" max="7"/>
    <col width="15" customWidth="1" min="8" max="8"/>
    <col width="10" customWidth="1" min="9" max="9"/>
  </cols>
  <sheetData>
    <row r="1" ht="28" customHeight="1">
      <c r="A1" s="1" t="inlineStr">
        <is>
          <t>Audit &amp; Compliance</t>
        </is>
      </c>
    </row>
    <row r="2" ht="29" customHeight="1">
      <c r="A2" s="2" t="inlineStr">
        <is>
          <t>Dummy governance tracker for statutory, external financial, tax, management book and accounting controls</t>
        </is>
      </c>
    </row>
    <row r="4">
      <c r="A4" s="8" t="inlineStr">
        <is>
          <t>Audit and Control Plan</t>
        </is>
      </c>
    </row>
    <row r="5" ht="30" customHeight="1">
      <c r="A5" s="9" t="inlineStr">
        <is>
          <t>Control Area</t>
        </is>
      </c>
      <c r="B5" s="9" t="inlineStr">
        <is>
          <t>Audit Type</t>
        </is>
      </c>
      <c r="C5" s="9" t="inlineStr">
        <is>
          <t>Management Book</t>
        </is>
      </c>
      <c r="D5" s="9" t="inlineStr">
        <is>
          <t>Due Date</t>
        </is>
      </c>
      <c r="E5" s="9" t="inlineStr">
        <is>
          <t>Owner</t>
        </is>
      </c>
      <c r="F5" s="9" t="inlineStr">
        <is>
          <t>Issue Count</t>
        </is>
      </c>
      <c r="G5" s="9" t="inlineStr">
        <is>
          <t>Remediation</t>
        </is>
      </c>
      <c r="H5" s="9" t="inlineStr">
        <is>
          <t>Status</t>
        </is>
      </c>
      <c r="I5" s="9" t="inlineStr">
        <is>
          <t>RAG</t>
        </is>
      </c>
    </row>
    <row r="6">
      <c r="A6" s="27" t="inlineStr">
        <is>
          <t>Year-end statutory accounts</t>
        </is>
      </c>
      <c r="B6" s="27" t="inlineStr">
        <is>
          <t>Statutory audit</t>
        </is>
      </c>
      <c r="C6" s="27" t="inlineStr">
        <is>
          <t>Complete</t>
        </is>
      </c>
      <c r="D6" s="29" t="n">
        <v>46433</v>
      </c>
      <c r="E6" s="27" t="inlineStr">
        <is>
          <t>Dina</t>
        </is>
      </c>
      <c r="F6" s="28" t="n">
        <v>2</v>
      </c>
      <c r="G6" s="38" t="n">
        <v>0.75</v>
      </c>
      <c r="H6" s="27" t="inlineStr">
        <is>
          <t>In Progress</t>
        </is>
      </c>
      <c r="I6" s="13">
        <f>IF(H6="Complete","Green",IF(OR(F6&gt;2,G6&lt;0.7),"Red","Amber"))</f>
        <v/>
      </c>
    </row>
    <row r="7">
      <c r="A7" s="27" t="inlineStr">
        <is>
          <t>External financial statements</t>
        </is>
      </c>
      <c r="B7" s="27" t="inlineStr">
        <is>
          <t>External financial audit</t>
        </is>
      </c>
      <c r="C7" s="27" t="inlineStr">
        <is>
          <t>Complete</t>
        </is>
      </c>
      <c r="D7" s="29" t="n">
        <v>46461</v>
      </c>
      <c r="E7" s="27" t="inlineStr">
        <is>
          <t>Fajar</t>
        </is>
      </c>
      <c r="F7" s="28" t="n">
        <v>1</v>
      </c>
      <c r="G7" s="38" t="n">
        <v>0.9</v>
      </c>
      <c r="H7" s="27" t="inlineStr">
        <is>
          <t>In Progress</t>
        </is>
      </c>
      <c r="I7" s="13">
        <f>IF(H7="Complete","Green",IF(OR(F7&gt;2,G7&lt;0.7),"Red","Amber"))</f>
        <v/>
      </c>
    </row>
    <row r="8">
      <c r="A8" s="27" t="inlineStr">
        <is>
          <t>VAT and withholding tax</t>
        </is>
      </c>
      <c r="B8" s="27" t="inlineStr">
        <is>
          <t>Tax audit</t>
        </is>
      </c>
      <c r="C8" s="27" t="inlineStr">
        <is>
          <t>Complete</t>
        </is>
      </c>
      <c r="D8" s="29" t="n">
        <v>46265</v>
      </c>
      <c r="E8" s="27" t="inlineStr">
        <is>
          <t>Bimo</t>
        </is>
      </c>
      <c r="F8" s="28" t="n">
        <v>3</v>
      </c>
      <c r="G8" s="38" t="n">
        <v>0.6</v>
      </c>
      <c r="H8" s="27" t="inlineStr">
        <is>
          <t>Open</t>
        </is>
      </c>
      <c r="I8" s="13">
        <f>IF(H8="Complete","Green",IF(OR(F8&gt;2,G8&lt;0.7),"Red","Amber"))</f>
        <v/>
      </c>
    </row>
    <row r="9">
      <c r="A9" s="27" t="inlineStr">
        <is>
          <t>Monthly close pack</t>
        </is>
      </c>
      <c r="B9" s="27" t="inlineStr">
        <is>
          <t>Management book</t>
        </is>
      </c>
      <c r="C9" s="27" t="inlineStr">
        <is>
          <t>Complete</t>
        </is>
      </c>
      <c r="D9" s="29" t="n">
        <v>46032</v>
      </c>
      <c r="E9" s="27" t="inlineStr">
        <is>
          <t>Dina</t>
        </is>
      </c>
      <c r="F9" s="28" t="n">
        <v>0</v>
      </c>
      <c r="G9" s="38" t="n">
        <v>1</v>
      </c>
      <c r="H9" s="27" t="inlineStr">
        <is>
          <t>Complete</t>
        </is>
      </c>
      <c r="I9" s="13">
        <f>IF(H9="Complete","Green",IF(OR(F9&gt;2,G9&lt;0.7),"Red","Amber"))</f>
        <v/>
      </c>
    </row>
    <row r="10">
      <c r="A10" s="27" t="inlineStr">
        <is>
          <t>Revenue recognition control</t>
        </is>
      </c>
      <c r="B10" s="27" t="inlineStr">
        <is>
          <t>Accounting control</t>
        </is>
      </c>
      <c r="C10" s="27" t="inlineStr">
        <is>
          <t>In Review</t>
        </is>
      </c>
      <c r="D10" s="29" t="n">
        <v>46142</v>
      </c>
      <c r="E10" s="27" t="inlineStr">
        <is>
          <t>Sari</t>
        </is>
      </c>
      <c r="F10" s="28" t="n">
        <v>1</v>
      </c>
      <c r="G10" s="38" t="n">
        <v>0.8</v>
      </c>
      <c r="H10" s="27" t="inlineStr">
        <is>
          <t>In Progress</t>
        </is>
      </c>
      <c r="I10" s="13">
        <f>IF(H10="Complete","Green",IF(OR(F10&gt;2,G10&lt;0.7),"Red","Amber"))</f>
        <v/>
      </c>
    </row>
    <row r="11">
      <c r="A11" s="27" t="inlineStr">
        <is>
          <t>Trade spend accrual control</t>
        </is>
      </c>
      <c r="B11" s="27" t="inlineStr">
        <is>
          <t>Accounting control</t>
        </is>
      </c>
      <c r="C11" s="27" t="inlineStr">
        <is>
          <t>In Review</t>
        </is>
      </c>
      <c r="D11" s="29" t="n">
        <v>46173</v>
      </c>
      <c r="E11" s="27" t="inlineStr">
        <is>
          <t>Bimo</t>
        </is>
      </c>
      <c r="F11" s="28" t="n">
        <v>2</v>
      </c>
      <c r="G11" s="38" t="n">
        <v>0.55</v>
      </c>
      <c r="H11" s="27" t="inlineStr">
        <is>
          <t>Open</t>
        </is>
      </c>
      <c r="I11" s="13">
        <f>IF(H11="Complete","Green",IF(OR(F11&gt;2,G11&lt;0.7),"Red","Amber"))</f>
        <v/>
      </c>
    </row>
    <row r="12">
      <c r="A12" s="27" t="inlineStr">
        <is>
          <t>Inventory provision review</t>
        </is>
      </c>
      <c r="B12" s="27" t="inlineStr">
        <is>
          <t>Accounting control</t>
        </is>
      </c>
      <c r="C12" s="27" t="inlineStr">
        <is>
          <t>Complete</t>
        </is>
      </c>
      <c r="D12" s="29" t="n">
        <v>46203</v>
      </c>
      <c r="E12" s="27" t="inlineStr">
        <is>
          <t>Arman</t>
        </is>
      </c>
      <c r="F12" s="28" t="n">
        <v>1</v>
      </c>
      <c r="G12" s="38" t="n">
        <v>0.85</v>
      </c>
      <c r="H12" s="27" t="inlineStr">
        <is>
          <t>In Progress</t>
        </is>
      </c>
      <c r="I12" s="13">
        <f>IF(H12="Complete","Green",IF(OR(F12&gt;2,G12&lt;0.7),"Red","Amber"))</f>
        <v/>
      </c>
    </row>
    <row r="13">
      <c r="A13" s="27" t="inlineStr">
        <is>
          <t>Fixed asset verification</t>
        </is>
      </c>
      <c r="B13" s="27" t="inlineStr">
        <is>
          <t>Accounting control</t>
        </is>
      </c>
      <c r="C13" s="27" t="inlineStr">
        <is>
          <t>Complete</t>
        </is>
      </c>
      <c r="D13" s="29" t="n">
        <v>46295</v>
      </c>
      <c r="E13" s="27" t="inlineStr">
        <is>
          <t>Yuni</t>
        </is>
      </c>
      <c r="F13" s="28" t="n">
        <v>0</v>
      </c>
      <c r="G13" s="38" t="n">
        <v>1</v>
      </c>
      <c r="H13" s="27" t="inlineStr">
        <is>
          <t>Complete</t>
        </is>
      </c>
      <c r="I13" s="13">
        <f>IF(H13="Complete","Green",IF(OR(F13&gt;2,G13&lt;0.7),"Red","Amber"))</f>
        <v/>
      </c>
    </row>
  </sheetData>
  <mergeCells count="3">
    <mergeCell ref="A1:I1"/>
    <mergeCell ref="A4:I4"/>
    <mergeCell ref="A2:I2"/>
  </mergeCells>
  <conditionalFormatting sqref="I6:I13">
    <cfRule type="expression" priority="1" dxfId="1">
      <formula>I6="Green"</formula>
    </cfRule>
    <cfRule type="expression" priority="2" dxfId="2">
      <formula>I6="Amber"</formula>
    </cfRule>
    <cfRule type="expression" priority="3" dxfId="0">
      <formula>I6="Red"</formula>
    </cfRule>
  </conditionalFormatting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2026-09-20T01:33:53Z</dcterms:created>
  <dcterms:modified xsi:type="dcterms:W3CDTF">2026-09-20T01:34:48Z</dcterms:modified>
</cp:coreProperties>
</file>